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CE35A651-1AD1-4811-860E-3597AEE840DC}" xr6:coauthVersionLast="31" xr6:coauthVersionMax="31" xr10:uidLastSave="{00000000-0000-0000-0000-000000000000}"/>
  <bookViews>
    <workbookView xWindow="0" yWindow="0" windowWidth="28800" windowHeight="12227" tabRatio="593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7" l="1"/>
  <c r="D8" i="6"/>
  <c r="D19" i="6" s="1"/>
  <c r="D20" i="6" l="1"/>
  <c r="D21" i="6" s="1"/>
</calcChain>
</file>

<file path=xl/sharedStrings.xml><?xml version="1.0" encoding="utf-8"?>
<sst xmlns="http://schemas.openxmlformats.org/spreadsheetml/2006/main" count="109" uniqueCount="91">
  <si>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</si>
  <si>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</si>
  <si>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</si>
  <si>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</si>
  <si>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</si>
  <si>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</si>
  <si>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</si>
  <si>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</si>
  <si>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</si>
  <si>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</si>
  <si>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</si>
  <si>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</si>
  <si>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</si>
  <si>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</si>
  <si>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Sid</t>
  </si>
  <si>
    <t>Name 2</t>
  </si>
  <si>
    <t>Name 3</t>
  </si>
  <si>
    <t>Date Paid</t>
  </si>
  <si>
    <t>Employee</t>
  </si>
  <si>
    <t>Disbursement</t>
  </si>
  <si>
    <t>Witholding (25%)</t>
  </si>
  <si>
    <t>Total Payroll Expenses</t>
  </si>
  <si>
    <t>Total Witholding</t>
  </si>
  <si>
    <t>17/04/18</t>
  </si>
  <si>
    <t>testlast</t>
  </si>
  <si>
    <t>Testfirst</t>
  </si>
  <si>
    <t>Testfirsttestlast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</si>
  <si>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</si>
  <si>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</si>
  <si>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</si>
  <si>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</si>
  <si>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</si>
  <si>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</si>
  <si>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</si>
  <si>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</si>
  <si>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</si>
  <si>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</si>
  <si>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</si>
  <si>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</si>
  <si>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</si>
  <si>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</si>
  <si>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</si>
  <si>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</si>
  <si>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</si>
  <si>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</si>
  <si>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</si>
  <si>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</si>
  <si>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</si>
  <si>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</si>
  <si>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</si>
  <si>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</si>
  <si>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</si>
  <si>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</si>
  <si>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</si>
  <si>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</si>
  <si>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</si>
  <si>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</si>
  <si>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Net Worth</t>
  </si>
  <si>
    <t xml:space="preserve">Total Liabilities &amp; Net Worth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</si>
  <si>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</si>
  <si>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</si>
  <si>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</si>
  <si>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</si>
  <si>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</si>
  <si>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</si>
  <si>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</si>
  <si>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</si>
  <si>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</si>
  <si>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</si>
  <si>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</si>
  <si>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</si>
  <si>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</si>
  <si>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</si>
  <si>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</si>
  <si>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</si>
  <si>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</si>
  <si>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</si>
  <si>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</si>
  <si>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</si>
  <si>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</si>
  <si>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Data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</si>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</sst>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Fill="1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6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7" xfId="0" applyFont="1" applyBorder="1"/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Border="1"/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6" fontId="2" fillId="0" borderId="3" xfId="0" applyNumberFormat="1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385233</xdr:colOff>
          <xdr:row>17</xdr:row>
          <xdr:rowOff>71967</xdr:rowOff>
        </xdr:from>
        <xdr:to>
          <xdr:col>3</xdr:col>
          <xdr:colOff>381000</xdr:colOff>
          <xdr:row>19</xdr:row>
          <xdr:rowOff>50801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09ADA6F-9687-434C-A869-AE7C5722C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Read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9FDE041-C088-46CA-84D1-274FC3D15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20B08B8-5692-44C9-B6FE-09050FBF3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93773CF-6501-4F66-8927-BC4AC533C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16</xdr:row>
          <xdr:rowOff>12700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8381148-0DAA-4777-BFC6-8A992D64B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F03ED28-01BC-408F-98C2-C12ECC047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31B7FB7F-F578-424C-92D3-B188FD3AF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3</xdr:row>
          <xdr:rowOff>21167</xdr:rowOff>
        </xdr:from>
        <xdr:to>
          <xdr:col>12</xdr:col>
          <xdr:colOff>304800</xdr:colOff>
          <xdr:row>5</xdr:row>
          <xdr:rowOff>21167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630767</xdr:colOff>
          <xdr:row>1</xdr:row>
          <xdr:rowOff>21167</xdr:rowOff>
        </xdr:from>
        <xdr:to>
          <xdr:col>12</xdr:col>
          <xdr:colOff>304800</xdr:colOff>
          <xdr:row>3</xdr:row>
          <xdr:rowOff>21167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389467</xdr:colOff>
          <xdr:row>2</xdr:row>
          <xdr:rowOff>173567</xdr:rowOff>
        </xdr:from>
        <xdr:to>
          <xdr:col>14</xdr:col>
          <xdr:colOff>427567</xdr:colOff>
          <xdr:row>4</xdr:row>
          <xdr:rowOff>173567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59266</xdr:colOff>
          <xdr:row>1</xdr:row>
          <xdr:rowOff>21167</xdr:rowOff>
        </xdr:from>
        <xdr:to>
          <xdr:col>5</xdr:col>
          <xdr:colOff>563033</xdr:colOff>
          <xdr:row>3</xdr:row>
          <xdr:rowOff>97367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04E6953-776D-4557-9DD6-D73D78740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173566</xdr:colOff>
          <xdr:row>2</xdr:row>
          <xdr:rowOff>29633</xdr:rowOff>
        </xdr:from>
        <xdr:to>
          <xdr:col>7</xdr:col>
          <xdr:colOff>436033</xdr:colOff>
          <xdr:row>4</xdr:row>
          <xdr:rowOff>101599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71477086-3471-4225-9BC6-722C66159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630766</xdr:colOff>
          <xdr:row>1</xdr:row>
          <xdr:rowOff>105834</xdr:rowOff>
        </xdr:from>
        <xdr:to>
          <xdr:col>10</xdr:col>
          <xdr:colOff>249767</xdr:colOff>
          <xdr:row>3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080F920-8781-4D7D-A829-1ECD081F3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59266</xdr:colOff>
          <xdr:row>2</xdr:row>
          <xdr:rowOff>21167</xdr:rowOff>
        </xdr:from>
        <xdr:to>
          <xdr:col>5</xdr:col>
          <xdr:colOff>563033</xdr:colOff>
          <xdr:row>4</xdr:row>
          <xdr:rowOff>97367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550158F2-B360-4D9F-957D-240A9E18C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165100</xdr:rowOff>
        </xdr:from>
        <xdr:to>
          <xdr:col>7</xdr:col>
          <xdr:colOff>4235</xdr:colOff>
          <xdr:row>3</xdr:row>
          <xdr:rowOff>59268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1CE4CC0-D4A7-4416-BFB7-820CC0897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16934</xdr:colOff>
          <xdr:row>1</xdr:row>
          <xdr:rowOff>88900</xdr:rowOff>
        </xdr:from>
        <xdr:to>
          <xdr:col>10</xdr:col>
          <xdr:colOff>512233</xdr:colOff>
          <xdr:row>3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58994A44-E24E-45E0-9AD6-657218F42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2</xdr:row>
          <xdr:rowOff>84667</xdr:rowOff>
        </xdr:from>
        <xdr:to>
          <xdr:col>3</xdr:col>
          <xdr:colOff>977901</xdr:colOff>
          <xdr:row>4</xdr:row>
          <xdr:rowOff>160868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6A44F76-A030-486A-91F5-41899FC9A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tabSelected="1" workbookViewId="0">
      <selection activeCell="N4" sqref="N4"/>
    </sheetView>
  </sheetViews>
  <sheetFormatPr defaultRowHeight="14.35" x14ac:dyDescent="0.5"/>
  <sheetData>
    <row r="1" spans="2:13" ht="14.7" thickBot="1" x14ac:dyDescent="0.55000000000000004"/>
    <row r="2" spans="2:13" x14ac:dyDescent="0.5">
      <c r="B2" s="38"/>
      <c r="C2" s="39"/>
      <c r="D2" s="39"/>
      <c r="E2" s="39"/>
      <c r="F2" s="39"/>
      <c r="G2" s="39"/>
      <c r="H2" s="39"/>
      <c r="I2" s="39"/>
      <c r="J2" s="39"/>
      <c r="K2" s="39"/>
      <c r="L2" s="39"/>
      <c r="M2" s="5"/>
    </row>
    <row r="3" spans="2:13" ht="61.35" x14ac:dyDescent="2">
      <c r="B3" s="8"/>
      <c r="C3" s="1"/>
      <c r="D3" s="1"/>
      <c r="E3" s="40" t="s">
        <v>90</v>
      </c>
      <c r="F3" s="1"/>
      <c r="G3" s="41"/>
      <c r="H3" s="41"/>
      <c r="I3" s="41"/>
      <c r="J3" s="41"/>
      <c r="K3" s="41"/>
      <c r="L3" s="1"/>
      <c r="M3" s="9"/>
    </row>
    <row r="4" spans="2:13" x14ac:dyDescent="0.5">
      <c r="B4" s="8"/>
      <c r="C4" s="1"/>
      <c r="D4" s="1"/>
      <c r="E4" s="1"/>
      <c r="F4" s="1"/>
      <c r="G4" s="1"/>
      <c r="H4" s="1"/>
      <c r="I4" s="1"/>
      <c r="J4" s="1"/>
      <c r="K4" s="1"/>
      <c r="L4" s="1"/>
      <c r="M4" s="9"/>
    </row>
    <row r="5" spans="2:13" x14ac:dyDescent="0.5">
      <c r="B5" s="8"/>
      <c r="C5" s="1"/>
      <c r="D5" s="1"/>
      <c r="E5" s="1"/>
      <c r="F5" s="1"/>
      <c r="G5" s="1"/>
      <c r="H5" s="1"/>
      <c r="I5" s="1"/>
      <c r="J5" s="1"/>
      <c r="K5" s="1"/>
      <c r="L5" s="1"/>
      <c r="M5" s="9"/>
    </row>
    <row r="6" spans="2:13" x14ac:dyDescent="0.5"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9"/>
    </row>
    <row r="7" spans="2:13" x14ac:dyDescent="0.5">
      <c r="B7" s="8"/>
      <c r="C7" s="1"/>
      <c r="D7" s="1"/>
      <c r="E7" s="1"/>
      <c r="F7" s="1"/>
      <c r="G7" s="1"/>
      <c r="H7" s="1"/>
      <c r="I7" s="1"/>
      <c r="J7" s="1"/>
      <c r="K7" s="1"/>
      <c r="L7" s="1"/>
      <c r="M7" s="9"/>
    </row>
    <row r="8" spans="2:13" x14ac:dyDescent="0.5">
      <c r="B8" s="8"/>
      <c r="C8" s="1"/>
      <c r="D8" s="1"/>
      <c r="E8" s="1"/>
      <c r="F8" s="1"/>
      <c r="G8" s="1"/>
      <c r="H8" s="1"/>
      <c r="I8" s="1"/>
      <c r="J8" s="1"/>
      <c r="K8" s="1"/>
      <c r="L8" s="1"/>
      <c r="M8" s="9"/>
    </row>
    <row r="9" spans="2:13" x14ac:dyDescent="0.5">
      <c r="B9" s="8"/>
      <c r="C9" s="1"/>
      <c r="D9" s="1"/>
      <c r="E9" s="1"/>
      <c r="F9" s="1"/>
      <c r="G9" s="1"/>
      <c r="H9" s="1"/>
      <c r="I9" s="1"/>
      <c r="J9" s="1"/>
      <c r="K9" s="1"/>
      <c r="L9" s="1"/>
      <c r="M9" s="9"/>
    </row>
    <row r="10" spans="2:13" x14ac:dyDescent="0.5">
      <c r="B10" s="8"/>
      <c r="C10" s="1"/>
      <c r="D10" s="1"/>
      <c r="E10" s="1"/>
      <c r="F10" s="1"/>
      <c r="G10" s="1"/>
      <c r="H10" s="1"/>
      <c r="I10" s="1"/>
      <c r="J10" s="1"/>
      <c r="K10" s="1"/>
      <c r="L10" s="1"/>
      <c r="M10" s="9"/>
    </row>
    <row r="11" spans="2:13" x14ac:dyDescent="0.5">
      <c r="B11" s="8"/>
      <c r="C11" s="1"/>
      <c r="D11" s="1"/>
      <c r="E11" s="1"/>
      <c r="F11" s="1"/>
      <c r="G11" s="1"/>
      <c r="H11" s="1"/>
      <c r="I11" s="1"/>
      <c r="J11" s="1"/>
      <c r="K11" s="1"/>
      <c r="L11" s="1"/>
      <c r="M11" s="9"/>
    </row>
    <row r="12" spans="2:13" x14ac:dyDescent="0.5"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9"/>
    </row>
    <row r="13" spans="2:13" x14ac:dyDescent="0.5">
      <c r="B13" s="8"/>
      <c r="C13" s="1"/>
      <c r="D13" s="1"/>
      <c r="E13" s="1"/>
      <c r="F13" s="1"/>
      <c r="G13" s="1"/>
      <c r="H13" s="1"/>
      <c r="I13" s="1"/>
      <c r="J13" s="1"/>
      <c r="K13" s="1"/>
      <c r="L13" s="1"/>
      <c r="M13" s="9"/>
    </row>
    <row r="14" spans="2:13" x14ac:dyDescent="0.5">
      <c r="B14" s="8"/>
      <c r="C14" s="1"/>
      <c r="D14" s="1"/>
      <c r="E14" s="1"/>
      <c r="F14" s="1"/>
      <c r="G14" s="1"/>
      <c r="H14" s="1"/>
      <c r="I14" s="1"/>
      <c r="J14" s="1"/>
      <c r="K14" s="1"/>
      <c r="L14" s="1"/>
      <c r="M14" s="9"/>
    </row>
    <row r="15" spans="2:13" x14ac:dyDescent="0.5"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9"/>
    </row>
    <row r="16" spans="2:13" x14ac:dyDescent="0.5">
      <c r="B16" s="8"/>
      <c r="C16" s="1"/>
      <c r="D16" s="1"/>
      <c r="E16" s="1"/>
      <c r="F16" s="1"/>
      <c r="G16" s="1"/>
      <c r="H16" s="1"/>
      <c r="I16" s="1"/>
      <c r="J16" s="1"/>
      <c r="K16" s="1"/>
      <c r="L16" s="1"/>
      <c r="M16" s="9"/>
    </row>
    <row r="17" spans="2:13" x14ac:dyDescent="0.5">
      <c r="B17" s="8"/>
      <c r="C17" s="1"/>
      <c r="D17" s="1"/>
      <c r="E17" s="1"/>
      <c r="F17" s="1"/>
      <c r="G17" s="1"/>
      <c r="H17" s="1"/>
      <c r="I17" s="1"/>
      <c r="J17" s="1"/>
      <c r="K17" s="1"/>
      <c r="L17" s="1"/>
      <c r="M17" s="9"/>
    </row>
    <row r="18" spans="2:13" x14ac:dyDescent="0.5">
      <c r="B18" s="8"/>
      <c r="C18" s="1"/>
      <c r="D18" s="1"/>
      <c r="E18" s="1"/>
      <c r="F18" s="1"/>
      <c r="G18" s="1"/>
      <c r="H18" s="1"/>
      <c r="I18" s="1"/>
      <c r="J18" s="1"/>
      <c r="K18" s="1"/>
      <c r="L18" s="1"/>
      <c r="M18" s="9"/>
    </row>
    <row r="19" spans="2:13" x14ac:dyDescent="0.5">
      <c r="B19" s="8"/>
      <c r="C19" s="1"/>
      <c r="D19" s="1"/>
      <c r="E19" s="1"/>
      <c r="F19" s="1"/>
      <c r="G19" s="1"/>
      <c r="H19" s="1"/>
      <c r="I19" s="1"/>
      <c r="J19" s="1"/>
      <c r="K19" s="1"/>
      <c r="L19" s="1"/>
      <c r="M19" s="9"/>
    </row>
    <row r="20" spans="2:13" x14ac:dyDescent="0.5">
      <c r="B20" s="8"/>
      <c r="C20" s="1"/>
      <c r="D20" s="1"/>
      <c r="E20" s="1"/>
      <c r="F20" s="1"/>
      <c r="G20" s="1"/>
      <c r="H20" s="1"/>
      <c r="I20" s="1"/>
      <c r="J20" s="1"/>
      <c r="K20" s="1"/>
      <c r="L20" s="1"/>
      <c r="M20" s="9"/>
    </row>
    <row r="21" spans="2:13" x14ac:dyDescent="0.5">
      <c r="B21" s="8"/>
      <c r="C21" s="1"/>
      <c r="D21" s="1"/>
      <c r="E21" s="1"/>
      <c r="F21" s="1"/>
      <c r="G21" s="1"/>
      <c r="H21" s="1"/>
      <c r="I21" s="1"/>
      <c r="J21" s="1"/>
      <c r="K21" s="1"/>
      <c r="L21" s="1"/>
      <c r="M21" s="9"/>
    </row>
    <row r="22" spans="2:13" x14ac:dyDescent="0.5">
      <c r="B22" s="8"/>
      <c r="C22" s="1"/>
      <c r="D22" s="1"/>
      <c r="E22" s="1"/>
      <c r="F22" s="1"/>
      <c r="G22" s="1"/>
      <c r="H22" s="1"/>
      <c r="I22" s="1"/>
      <c r="J22" s="1"/>
      <c r="K22" s="1"/>
      <c r="L22" s="1"/>
      <c r="M22" s="9"/>
    </row>
    <row r="23" spans="2:13" x14ac:dyDescent="0.5">
      <c r="B23" s="8"/>
      <c r="C23" s="1"/>
      <c r="D23" s="1"/>
      <c r="E23" s="1"/>
      <c r="F23" s="1"/>
      <c r="G23" s="1"/>
      <c r="H23" s="1"/>
      <c r="I23" s="1"/>
      <c r="J23" s="1"/>
      <c r="K23" s="1"/>
      <c r="L23" s="1"/>
      <c r="M23" s="9"/>
    </row>
    <row r="24" spans="2:13" x14ac:dyDescent="0.5">
      <c r="B24" s="8"/>
      <c r="C24" s="1"/>
      <c r="D24" s="1"/>
      <c r="E24" s="1"/>
      <c r="F24" s="1"/>
      <c r="G24" s="1"/>
      <c r="H24" s="1"/>
      <c r="I24" s="1"/>
      <c r="J24" s="1"/>
      <c r="K24" s="1"/>
      <c r="L24" s="1"/>
      <c r="M24" s="9"/>
    </row>
    <row r="25" spans="2:13" x14ac:dyDescent="0.5">
      <c r="B25" s="8"/>
      <c r="C25" s="1"/>
      <c r="D25" s="1"/>
      <c r="E25" s="1"/>
      <c r="F25" s="1"/>
      <c r="G25" s="1"/>
      <c r="H25" s="1"/>
      <c r="I25" s="1"/>
      <c r="J25" s="1"/>
      <c r="K25" s="1"/>
      <c r="L25" s="1"/>
      <c r="M25" s="9"/>
    </row>
    <row r="26" spans="2:13" ht="14.7" thickBot="1" x14ac:dyDescent="0.55000000000000004">
      <c r="B26" s="10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Column">
                <anchor moveWithCells="1" sizeWithCells="1">
                  <from>
                    <xdr:col>1</xdr:col>
                    <xdr:colOff>385233</xdr:colOff>
                    <xdr:row>17</xdr:row>
                    <xdr:rowOff>71967</xdr:rowOff>
                  </from>
                  <to>
                    <xdr:col>3</xdr:col>
                    <xdr:colOff>381000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Invoices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Inventory_Click">
                <anchor moveWithCells="1" sizeWithCells="1">
                  <from>
                    <xdr:col>10</xdr:col>
                    <xdr:colOff>8467</xdr:colOff>
                    <xdr:row>16</xdr:row>
                    <xdr:rowOff>12700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3" sqref="B3:I4"/>
    </sheetView>
  </sheetViews>
  <sheetFormatPr defaultColWidth="11.87890625" defaultRowHeight="14.35" x14ac:dyDescent="0.5"/>
  <cols>
    <col min="2" max="2" width="15.1171875" bestFit="1" customWidth="1"/>
    <col min="5" max="6" width="13.87890625" bestFit="1" customWidth="1"/>
    <col min="7" max="7" width="10.29296875" customWidth="1"/>
    <col min="8" max="8" width="14.29296875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  <c r="G4" s="2" t="s">
        <v>4</v>
      </c>
      <c r="H4" s="2" t="s">
        <v>5</v>
      </c>
      <c r="I4" s="2" t="s">
        <v>6</v>
      </c>
      <c r="J4" s="1"/>
      <c r="K4" s="1"/>
      <c r="L4" s="1"/>
      <c r="M4" s="1"/>
    </row>
    <row r="5" spans="1:13" x14ac:dyDescent="0.5">
      <c r="A5" s="1"/>
      <c r="E5" s="1"/>
      <c r="F5" s="1"/>
      <c r="G5" s="1"/>
      <c r="H5" s="1"/>
      <c r="I5" s="1"/>
      <c r="J5" s="1"/>
      <c r="K5" s="1"/>
      <c r="L5" s="1"/>
      <c r="M5" s="1"/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3</xdr:row>
                    <xdr:rowOff>21167</xdr:rowOff>
                  </from>
                  <to>
                    <xdr:col>12</xdr:col>
                    <xdr:colOff>304800</xdr:colOff>
                    <xdr:row>5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3"/>
  <sheetViews>
    <sheetView showGridLines="0" workbookViewId="0">
      <selection activeCell="C6" sqref="C6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bestFit="1" customWidth="1"/>
    <col min="5" max="6" width="13.87890625" bestFit="1" customWidth="1"/>
  </cols>
  <sheetData>
    <row r="1" spans="1:13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5">
      <c r="A2" s="1"/>
      <c r="B2" s="2" t="s">
        <v>11</v>
      </c>
      <c r="C2" s="2" t="s">
        <v>12</v>
      </c>
      <c r="D2" s="2" t="s">
        <v>13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1"/>
      <c r="K2" s="1"/>
      <c r="L2" s="1"/>
      <c r="M2" s="1"/>
    </row>
    <row r="3" spans="1:13" x14ac:dyDescent="0.5">
      <c r="A3" s="1"/>
      <c r="E3" s="1"/>
      <c r="F3" s="1"/>
      <c r="G3" s="1"/>
      <c r="H3" s="1"/>
      <c r="I3" s="1"/>
      <c r="J3" s="1"/>
      <c r="K3" s="1"/>
      <c r="L3" s="1"/>
      <c r="M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10</xdr:col>
                    <xdr:colOff>630767</xdr:colOff>
                    <xdr:row>1</xdr:row>
                    <xdr:rowOff>21167</xdr:rowOff>
                  </from>
                  <to>
                    <xdr:col>12</xdr:col>
                    <xdr:colOff>304800</xdr:colOff>
                    <xdr:row>3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4:K9"/>
  <sheetViews>
    <sheetView showGridLines="0" topLeftCell="E1" workbookViewId="0">
      <selection activeCell="D8" sqref="D8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22.87890625" style="1" customWidth="1"/>
    <col min="4" max="4" width="31.87890625" style="1" customWidth="1"/>
    <col min="5" max="5" width="30.41015625" style="1" customWidth="1"/>
    <col min="6" max="6" width="12.41015625" style="1" customWidth="1"/>
    <col min="7" max="7" width="10.1171875" style="1" customWidth="1"/>
    <col min="8" max="8" width="11.41015625" style="1" customWidth="1"/>
    <col min="9" max="9" width="15.29296875" style="1" bestFit="1" customWidth="1"/>
    <col min="10" max="10" width="16.703125" style="1" bestFit="1" customWidth="1"/>
    <col min="11" max="16384" width="9.1171875" style="1"/>
  </cols>
  <sheetData>
    <row r="4" spans="2:11" x14ac:dyDescent="0.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</row>
    <row r="5" spans="2:11" x14ac:dyDescent="0.5">
      <c r="B5" s="1">
        <v>1</v>
      </c>
      <c r="C5" s="1" t="s">
        <v>14</v>
      </c>
    </row>
    <row r="6" spans="2:11" x14ac:dyDescent="0.5">
      <c r="B6" s="1">
        <v>4</v>
      </c>
      <c r="C6" s="1" t="s">
        <v>15</v>
      </c>
    </row>
    <row r="7" spans="2:11" x14ac:dyDescent="0.5">
      <c r="B7" s="1">
        <v>5</v>
      </c>
      <c r="C7" s="3" t="s">
        <v>16</v>
      </c>
    </row>
    <row r="8" spans="2:11" x14ac:dyDescent="0.5">
      <c r="B8" s="3" t="s">
        <v>24</v>
      </c>
      <c r="C8" s="1" t="s">
        <v>25</v>
      </c>
      <c r="K8" s="1">
        <v>1234</v>
      </c>
    </row>
    <row r="9" spans="2:11" x14ac:dyDescent="0.5">
      <c r="B9" s="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12</xdr:col>
                    <xdr:colOff>389467</xdr:colOff>
                    <xdr:row>2</xdr:row>
                    <xdr:rowOff>173567</xdr:rowOff>
                  </from>
                  <to>
                    <xdr:col>14</xdr:col>
                    <xdr:colOff>427567</xdr:colOff>
                    <xdr:row>4</xdr:row>
                    <xdr:rowOff>173567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3:I7"/>
  <sheetViews>
    <sheetView showGridLines="0" workbookViewId="0">
      <selection activeCell="G2" sqref="G2"/>
    </sheetView>
  </sheetViews>
  <sheetFormatPr defaultRowHeight="14.35" x14ac:dyDescent="0.5"/>
  <cols>
    <col min="4" max="4" width="11.703125" bestFit="1" customWidth="1"/>
    <col min="5" max="5" width="14.52734375" bestFit="1" customWidth="1"/>
    <col min="7" max="7" width="18.3515625" bestFit="1" customWidth="1"/>
  </cols>
  <sheetData>
    <row r="3" spans="2:9" x14ac:dyDescent="0.5">
      <c r="B3" s="1"/>
      <c r="C3" s="1"/>
      <c r="D3" s="1"/>
      <c r="E3" s="1"/>
      <c r="F3" s="1"/>
      <c r="G3" s="1"/>
      <c r="H3" s="1"/>
      <c r="I3" s="1"/>
    </row>
    <row r="4" spans="2:9" ht="14.7" thickBot="1" x14ac:dyDescent="0.55000000000000004">
      <c r="B4" s="1"/>
      <c r="C4" s="1"/>
      <c r="D4" s="1"/>
      <c r="E4" s="1"/>
      <c r="F4" s="1"/>
      <c r="G4" s="1"/>
      <c r="H4" s="1"/>
      <c r="I4" s="1"/>
    </row>
    <row r="5" spans="2:9" x14ac:dyDescent="0.5">
      <c r="B5" s="1"/>
      <c r="C5" s="1"/>
      <c r="D5" s="1"/>
      <c r="E5" s="1"/>
      <c r="F5" s="1"/>
      <c r="G5" s="4" t="s">
        <v>21</v>
      </c>
      <c r="H5" s="5">
        <v>0</v>
      </c>
      <c r="I5" s="1"/>
    </row>
    <row r="6" spans="2:9" ht="14.7" thickBot="1" x14ac:dyDescent="0.55000000000000004">
      <c r="B6" s="2" t="s">
        <v>17</v>
      </c>
      <c r="C6" s="2" t="s">
        <v>18</v>
      </c>
      <c r="D6" s="2" t="s">
        <v>19</v>
      </c>
      <c r="E6" s="2" t="s">
        <v>20</v>
      </c>
      <c r="F6" s="1"/>
      <c r="G6" s="6" t="s">
        <v>22</v>
      </c>
      <c r="H6" s="7">
        <v>0</v>
      </c>
      <c r="I6" s="1"/>
    </row>
    <row r="7" spans="2:9" x14ac:dyDescent="0.5">
      <c r="B7" t="s">
        <v>23</v>
      </c>
      <c r="C7" t="s">
        <v>26</v>
      </c>
      <c r="E7">
        <v>1234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1</xdr:row>
                    <xdr:rowOff>21167</xdr:rowOff>
                  </from>
                  <to>
                    <xdr:col>5</xdr:col>
                    <xdr:colOff>563033</xdr:colOff>
                    <xdr:row>3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C4:D22"/>
  <sheetViews>
    <sheetView showGridLines="0" workbookViewId="0">
      <selection activeCell="G10" sqref="G9:G10"/>
    </sheetView>
  </sheetViews>
  <sheetFormatPr defaultRowHeight="14.35" x14ac:dyDescent="0.5"/>
  <cols>
    <col min="3" max="3" width="20.41015625" customWidth="1"/>
    <col min="4" max="4" width="14.8203125" customWidth="1"/>
  </cols>
  <sheetData>
    <row r="4" spans="3:4" ht="14.7" thickBot="1" x14ac:dyDescent="0.55000000000000004"/>
    <row r="5" spans="3:4" ht="14.7" thickBot="1" x14ac:dyDescent="0.55000000000000004">
      <c r="C5" s="11" t="s">
        <v>40</v>
      </c>
      <c r="D5" s="12"/>
    </row>
    <row r="6" spans="3:4" x14ac:dyDescent="0.5">
      <c r="C6" s="8" t="s">
        <v>27</v>
      </c>
      <c r="D6" s="9">
        <v>52412.5</v>
      </c>
    </row>
    <row r="7" spans="3:4" x14ac:dyDescent="0.5">
      <c r="C7" s="8" t="s">
        <v>28</v>
      </c>
      <c r="D7" s="9">
        <v>16143.1</v>
      </c>
    </row>
    <row r="8" spans="3:4" x14ac:dyDescent="0.5">
      <c r="C8" s="13" t="s">
        <v>29</v>
      </c>
      <c r="D8" s="16">
        <f>D6 - D7</f>
        <v>36269.4</v>
      </c>
    </row>
    <row r="9" spans="3:4" x14ac:dyDescent="0.5">
      <c r="C9" s="8"/>
      <c r="D9" s="9"/>
    </row>
    <row r="10" spans="3:4" x14ac:dyDescent="0.5">
      <c r="C10" s="8" t="s">
        <v>30</v>
      </c>
      <c r="D10" s="9"/>
    </row>
    <row r="11" spans="3:4" x14ac:dyDescent="0.5">
      <c r="C11" s="8" t="s">
        <v>31</v>
      </c>
      <c r="D11" s="9">
        <v>9375</v>
      </c>
    </row>
    <row r="12" spans="3:4" x14ac:dyDescent="0.5">
      <c r="C12" s="8" t="s">
        <v>32</v>
      </c>
      <c r="D12" s="9">
        <v>3125</v>
      </c>
    </row>
    <row r="13" spans="3:4" x14ac:dyDescent="0.5">
      <c r="C13" s="8" t="s">
        <v>33</v>
      </c>
      <c r="D13" s="9">
        <v>1250</v>
      </c>
    </row>
    <row r="14" spans="3:4" x14ac:dyDescent="0.5">
      <c r="C14" s="13" t="s">
        <v>34</v>
      </c>
      <c r="D14" s="9">
        <v>13750</v>
      </c>
    </row>
    <row r="15" spans="3:4" x14ac:dyDescent="0.5">
      <c r="C15" s="8"/>
      <c r="D15" s="9"/>
    </row>
    <row r="16" spans="3:4" x14ac:dyDescent="0.5">
      <c r="C16" s="8"/>
      <c r="D16" s="9"/>
    </row>
    <row r="17" spans="3:4" x14ac:dyDescent="0.5">
      <c r="C17" s="13" t="s">
        <v>35</v>
      </c>
      <c r="D17" s="9">
        <v>24375</v>
      </c>
    </row>
    <row r="18" spans="3:4" x14ac:dyDescent="0.5">
      <c r="C18" s="8" t="s">
        <v>36</v>
      </c>
      <c r="D18" s="9"/>
    </row>
    <row r="19" spans="3:4" x14ac:dyDescent="0.5">
      <c r="C19" s="8" t="s">
        <v>37</v>
      </c>
      <c r="D19" s="9">
        <f>D8-D17</f>
        <v>11894.400000000001</v>
      </c>
    </row>
    <row r="20" spans="3:4" x14ac:dyDescent="0.5">
      <c r="C20" s="8" t="s">
        <v>38</v>
      </c>
      <c r="D20" s="9">
        <f xml:space="preserve"> 0.2 *D19</f>
        <v>2378.8800000000006</v>
      </c>
    </row>
    <row r="21" spans="3:4" ht="14.7" thickBot="1" x14ac:dyDescent="0.55000000000000004">
      <c r="C21" s="6" t="s">
        <v>39</v>
      </c>
      <c r="D21" s="15">
        <f xml:space="preserve"> D19 - D20</f>
        <v>9515.52</v>
      </c>
    </row>
    <row r="22" spans="3:4" x14ac:dyDescent="0.5">
      <c r="C22" s="14"/>
      <c r="D22" s="1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173567</xdr:colOff>
                    <xdr:row>2</xdr:row>
                    <xdr:rowOff>29633</xdr:rowOff>
                  </from>
                  <to>
                    <xdr:col>7</xdr:col>
                    <xdr:colOff>436033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D3:G20"/>
  <sheetViews>
    <sheetView showGridLines="0" workbookViewId="0">
      <selection activeCell="J13" sqref="J13"/>
    </sheetView>
  </sheetViews>
  <sheetFormatPr defaultRowHeight="14.35" x14ac:dyDescent="0.5"/>
  <cols>
    <col min="4" max="4" width="16.41015625" bestFit="1" customWidth="1"/>
    <col min="5" max="5" width="19.3515625" customWidth="1"/>
    <col min="6" max="6" width="28.52734375" customWidth="1"/>
    <col min="7" max="7" width="26.234375" customWidth="1"/>
  </cols>
  <sheetData>
    <row r="3" spans="4:7" ht="14.7" thickBot="1" x14ac:dyDescent="0.55000000000000004"/>
    <row r="4" spans="4:7" x14ac:dyDescent="0.5">
      <c r="D4" s="21" t="s">
        <v>59</v>
      </c>
      <c r="E4" s="22"/>
      <c r="F4" s="22" t="s">
        <v>60</v>
      </c>
      <c r="G4" s="23"/>
    </row>
    <row r="5" spans="4:7" x14ac:dyDescent="0.5">
      <c r="D5" s="17"/>
      <c r="E5" s="20"/>
      <c r="F5" s="20"/>
      <c r="G5" s="18"/>
    </row>
    <row r="6" spans="4:7" x14ac:dyDescent="0.5">
      <c r="D6" s="8" t="s">
        <v>41</v>
      </c>
      <c r="E6" s="1">
        <v>52412.5</v>
      </c>
      <c r="F6" s="1" t="s">
        <v>50</v>
      </c>
      <c r="G6" s="9"/>
    </row>
    <row r="7" spans="4:7" x14ac:dyDescent="0.5">
      <c r="D7" s="8" t="s">
        <v>42</v>
      </c>
      <c r="E7" s="1">
        <v>16143.1</v>
      </c>
      <c r="F7" s="1" t="s">
        <v>51</v>
      </c>
      <c r="G7" s="9"/>
    </row>
    <row r="8" spans="4:7" x14ac:dyDescent="0.5">
      <c r="D8" s="13" t="s">
        <v>43</v>
      </c>
      <c r="E8" s="14">
        <f>E6 - E7</f>
        <v>36269.4</v>
      </c>
      <c r="F8" s="14" t="s">
        <v>52</v>
      </c>
      <c r="G8" s="16"/>
    </row>
    <row r="9" spans="4:7" x14ac:dyDescent="0.5">
      <c r="D9" s="8" t="s">
        <v>44</v>
      </c>
      <c r="E9" s="1"/>
      <c r="F9" s="1" t="s">
        <v>53</v>
      </c>
      <c r="G9" s="9"/>
    </row>
    <row r="10" spans="4:7" x14ac:dyDescent="0.5">
      <c r="D10" s="8"/>
      <c r="E10" s="1"/>
      <c r="F10" s="1"/>
      <c r="G10" s="9"/>
    </row>
    <row r="11" spans="4:7" x14ac:dyDescent="0.5">
      <c r="D11" s="8" t="s">
        <v>45</v>
      </c>
      <c r="E11" s="1">
        <v>9375</v>
      </c>
      <c r="F11" s="1" t="s">
        <v>54</v>
      </c>
      <c r="G11" s="9"/>
    </row>
    <row r="12" spans="4:7" x14ac:dyDescent="0.5">
      <c r="D12" s="8" t="s">
        <v>46</v>
      </c>
      <c r="E12" s="1">
        <v>3125</v>
      </c>
      <c r="F12" s="1" t="s">
        <v>55</v>
      </c>
      <c r="G12" s="9"/>
    </row>
    <row r="13" spans="4:7" x14ac:dyDescent="0.5">
      <c r="D13" s="8" t="s">
        <v>47</v>
      </c>
      <c r="E13" s="1">
        <v>1250</v>
      </c>
      <c r="F13" s="1"/>
      <c r="G13" s="9"/>
    </row>
    <row r="14" spans="4:7" x14ac:dyDescent="0.5">
      <c r="D14" s="13" t="s">
        <v>49</v>
      </c>
      <c r="E14" s="1">
        <v>13750</v>
      </c>
      <c r="F14" s="1" t="s">
        <v>56</v>
      </c>
      <c r="G14" s="9"/>
    </row>
    <row r="15" spans="4:7" x14ac:dyDescent="0.5">
      <c r="D15" s="8"/>
      <c r="E15" s="1"/>
      <c r="F15" s="1"/>
      <c r="G15" s="9"/>
    </row>
    <row r="16" spans="4:7" x14ac:dyDescent="0.5">
      <c r="D16" s="8"/>
      <c r="E16" s="1"/>
      <c r="F16" s="1" t="s">
        <v>57</v>
      </c>
      <c r="G16" s="9"/>
    </row>
    <row r="17" spans="4:7" x14ac:dyDescent="0.5">
      <c r="D17" s="13" t="s">
        <v>48</v>
      </c>
      <c r="E17" s="1">
        <v>24375</v>
      </c>
      <c r="F17" s="14"/>
      <c r="G17" s="9"/>
    </row>
    <row r="18" spans="4:7" x14ac:dyDescent="0.5">
      <c r="D18" s="8"/>
      <c r="E18" s="1"/>
      <c r="F18" s="1" t="s">
        <v>58</v>
      </c>
      <c r="G18" s="9"/>
    </row>
    <row r="19" spans="4:7" x14ac:dyDescent="0.5">
      <c r="D19" s="8"/>
      <c r="E19" s="1"/>
      <c r="F19" s="1"/>
      <c r="G19" s="9"/>
    </row>
    <row r="20" spans="4:7" ht="14.7" thickBot="1" x14ac:dyDescent="0.55000000000000004">
      <c r="D20" s="10"/>
      <c r="E20" s="19"/>
      <c r="F20" s="19"/>
      <c r="G20" s="7"/>
    </row>
  </sheetData>
  <mergeCells count="2">
    <mergeCell ref="D4:E4"/>
    <mergeCell ref="F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owMainMenu_Click">
                <anchor moveWithCells="1" sizeWithCells="1">
                  <from>
                    <xdr:col>7</xdr:col>
                    <xdr:colOff>630767</xdr:colOff>
                    <xdr:row>1</xdr:row>
                    <xdr:rowOff>105833</xdr:rowOff>
                  </from>
                  <to>
                    <xdr:col>10</xdr:col>
                    <xdr:colOff>249767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4:J9"/>
  <sheetViews>
    <sheetView showGridLines="0" workbookViewId="0">
      <selection activeCell="F12" sqref="F12"/>
    </sheetView>
  </sheetViews>
  <sheetFormatPr defaultRowHeight="14.35" x14ac:dyDescent="0.5"/>
  <cols>
    <col min="2" max="2" width="9.9375" customWidth="1"/>
    <col min="3" max="3" width="13.1171875" bestFit="1" customWidth="1"/>
    <col min="4" max="4" width="11.703125" bestFit="1" customWidth="1"/>
    <col min="5" max="5" width="14.52734375" bestFit="1" customWidth="1"/>
    <col min="7" max="8" width="18.87890625" bestFit="1" customWidth="1"/>
  </cols>
  <sheetData>
    <row r="4" spans="2:10" x14ac:dyDescent="0.5">
      <c r="B4" s="1"/>
      <c r="C4" s="1"/>
      <c r="D4" s="1"/>
      <c r="E4" s="1"/>
      <c r="F4" s="1"/>
      <c r="G4" s="1"/>
      <c r="H4" s="1"/>
      <c r="I4" s="1"/>
    </row>
    <row r="5" spans="2:10" x14ac:dyDescent="0.5">
      <c r="B5" s="1"/>
      <c r="C5" s="1"/>
      <c r="D5" s="1"/>
      <c r="E5" s="1"/>
      <c r="F5" s="1"/>
      <c r="H5" s="1"/>
      <c r="I5" s="1"/>
      <c r="J5" s="1"/>
    </row>
    <row r="6" spans="2:10" x14ac:dyDescent="0.5">
      <c r="B6" s="1"/>
      <c r="C6" s="1"/>
      <c r="D6" s="1"/>
      <c r="E6" s="1"/>
      <c r="F6" s="1"/>
      <c r="H6" s="27" t="s">
        <v>65</v>
      </c>
      <c r="I6" s="27"/>
      <c r="J6" s="1"/>
    </row>
    <row r="7" spans="2:10" x14ac:dyDescent="0.5">
      <c r="B7" s="2" t="s">
        <v>61</v>
      </c>
      <c r="C7" s="2" t="s">
        <v>13</v>
      </c>
      <c r="D7" s="2" t="s">
        <v>62</v>
      </c>
      <c r="E7" s="2" t="s">
        <v>63</v>
      </c>
      <c r="F7" s="31" t="s">
        <v>64</v>
      </c>
      <c r="H7" s="27"/>
      <c r="I7" s="27"/>
      <c r="J7" s="1"/>
    </row>
    <row r="8" spans="2:10" ht="14.7" thickBot="1" x14ac:dyDescent="0.55000000000000004">
      <c r="H8" s="28" t="s">
        <v>66</v>
      </c>
      <c r="I8" s="28"/>
    </row>
    <row r="9" spans="2:10" x14ac:dyDescent="0.5">
      <c r="H9" s="25">
        <v>750</v>
      </c>
      <c r="I9" s="25"/>
    </row>
  </sheetData>
  <mergeCells count="3">
    <mergeCell ref="H6:I7"/>
    <mergeCell ref="H8:I8"/>
    <mergeCell ref="H9:I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59267</xdr:colOff>
                    <xdr:row>2</xdr:row>
                    <xdr:rowOff>21167</xdr:rowOff>
                  </from>
                  <to>
                    <xdr:col>5</xdr:col>
                    <xdr:colOff>563033</xdr:colOff>
                    <xdr:row>4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A2:K7"/>
  <sheetViews>
    <sheetView showGridLines="0" workbookViewId="0">
      <selection activeCell="I3" sqref="I3"/>
    </sheetView>
  </sheetViews>
  <sheetFormatPr defaultRowHeight="14.35" x14ac:dyDescent="0.5"/>
  <cols>
    <col min="1" max="1" width="9.52734375" customWidth="1"/>
    <col min="2" max="2" width="13.234375" bestFit="1" customWidth="1"/>
    <col min="4" max="4" width="15.9375" bestFit="1" customWidth="1"/>
    <col min="10" max="10" width="15.703125" customWidth="1"/>
    <col min="11" max="11" width="11.3515625" customWidth="1"/>
  </cols>
  <sheetData>
    <row r="2" spans="1:11" x14ac:dyDescent="0.5">
      <c r="A2" s="34" t="s">
        <v>83</v>
      </c>
      <c r="B2" s="35"/>
    </row>
    <row r="3" spans="1:11" x14ac:dyDescent="0.5">
      <c r="A3" s="35"/>
      <c r="B3" s="35"/>
      <c r="C3" s="1"/>
      <c r="D3" s="1"/>
      <c r="E3" s="1"/>
    </row>
    <row r="4" spans="1:11" x14ac:dyDescent="0.5">
      <c r="B4" s="33"/>
      <c r="C4" s="1"/>
      <c r="D4" s="1"/>
      <c r="E4" s="1"/>
    </row>
    <row r="5" spans="1:11" ht="14.7" thickBot="1" x14ac:dyDescent="0.55000000000000004">
      <c r="B5" s="1"/>
      <c r="C5" s="1"/>
      <c r="D5" s="1"/>
      <c r="E5" s="1"/>
    </row>
    <row r="6" spans="1:11" x14ac:dyDescent="0.5">
      <c r="B6" s="29" t="s">
        <v>79</v>
      </c>
      <c r="C6" s="29" t="s">
        <v>80</v>
      </c>
      <c r="D6" s="29" t="s">
        <v>81</v>
      </c>
      <c r="E6" s="29" t="s">
        <v>62</v>
      </c>
      <c r="F6" s="32" t="s">
        <v>13</v>
      </c>
      <c r="G6" s="32" t="s">
        <v>82</v>
      </c>
      <c r="J6" s="26" t="s">
        <v>84</v>
      </c>
      <c r="K6" s="36">
        <v>54192.5</v>
      </c>
    </row>
    <row r="7" spans="1:11" ht="14.7" thickBot="1" x14ac:dyDescent="0.55000000000000004">
      <c r="J7" s="24" t="s">
        <v>85</v>
      </c>
      <c r="K7" s="37">
        <v>16913.05</v>
      </c>
    </row>
  </sheetData>
  <mergeCells count="1">
    <mergeCell ref="A2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owMainMenu_Click">
                <anchor moveWithCells="1" sizeWithCells="1">
                  <from>
                    <xdr:col>5</xdr:col>
                    <xdr:colOff>152400</xdr:colOff>
                    <xdr:row>0</xdr:row>
                    <xdr:rowOff>165100</xdr:rowOff>
                  </from>
                  <to>
                    <xdr:col>7</xdr:col>
                    <xdr:colOff>4233</xdr:colOff>
                    <xdr:row>3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3:H4"/>
  <sheetViews>
    <sheetView showGridLines="0" workbookViewId="0">
      <selection activeCell="F7" sqref="F7"/>
    </sheetView>
  </sheetViews>
  <sheetFormatPr defaultRowHeight="14.35" x14ac:dyDescent="0.5"/>
  <cols>
    <col min="2" max="2" width="13.234375" bestFit="1" customWidth="1"/>
    <col min="3" max="3" width="7.1171875" customWidth="1"/>
  </cols>
  <sheetData>
    <row r="3" spans="2:8" x14ac:dyDescent="0.5">
      <c r="B3" s="1"/>
      <c r="C3" s="1"/>
      <c r="D3" s="1"/>
      <c r="E3" s="1"/>
    </row>
    <row r="4" spans="2:8" x14ac:dyDescent="0.5">
      <c r="B4" s="29" t="s">
        <v>86</v>
      </c>
      <c r="C4" s="29" t="s">
        <v>89</v>
      </c>
      <c r="D4" s="29" t="s">
        <v>87</v>
      </c>
      <c r="E4" s="29" t="s">
        <v>12</v>
      </c>
      <c r="F4" s="32" t="s">
        <v>62</v>
      </c>
      <c r="G4" s="32" t="s">
        <v>88</v>
      </c>
      <c r="H4" s="32" t="s">
        <v>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9</xdr:col>
                    <xdr:colOff>16933</xdr:colOff>
                    <xdr:row>1</xdr:row>
                    <xdr:rowOff>88900</xdr:rowOff>
                  </from>
                  <to>
                    <xdr:col>10</xdr:col>
                    <xdr:colOff>512233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5:E16"/>
  <sheetViews>
    <sheetView showGridLines="0" workbookViewId="0">
      <selection activeCell="H17" sqref="H17"/>
    </sheetView>
  </sheetViews>
  <sheetFormatPr defaultRowHeight="14.35" x14ac:dyDescent="0.5"/>
  <cols>
    <col min="3" max="3" width="16.05859375" customWidth="1"/>
    <col min="4" max="4" width="15.9375" bestFit="1" customWidth="1"/>
  </cols>
  <sheetData>
    <row r="5" spans="2:5" x14ac:dyDescent="0.5">
      <c r="B5" s="1"/>
      <c r="C5" s="1"/>
      <c r="D5" s="1"/>
      <c r="E5" s="1"/>
    </row>
    <row r="6" spans="2:5" x14ac:dyDescent="0.5">
      <c r="B6" s="1"/>
      <c r="C6" s="1"/>
      <c r="D6" s="1"/>
      <c r="E6" s="1"/>
    </row>
    <row r="7" spans="2:5" x14ac:dyDescent="0.5">
      <c r="B7" s="1"/>
      <c r="C7" s="1"/>
      <c r="D7" s="1"/>
      <c r="E7" s="1"/>
    </row>
    <row r="8" spans="2:5" x14ac:dyDescent="0.5">
      <c r="B8" s="29" t="s">
        <v>78</v>
      </c>
      <c r="C8" s="29" t="s">
        <v>67</v>
      </c>
      <c r="D8" s="29" t="s">
        <v>68</v>
      </c>
      <c r="E8" s="29" t="s">
        <v>69</v>
      </c>
    </row>
    <row r="9" spans="2:5" x14ac:dyDescent="0.5">
      <c r="B9" s="30">
        <v>1</v>
      </c>
      <c r="C9" s="30" t="s">
        <v>70</v>
      </c>
      <c r="D9" s="30">
        <v>8</v>
      </c>
      <c r="E9" s="30">
        <v>0.01</v>
      </c>
    </row>
    <row r="10" spans="2:5" x14ac:dyDescent="0.5">
      <c r="B10" s="30">
        <v>2</v>
      </c>
      <c r="C10" s="30" t="s">
        <v>71</v>
      </c>
      <c r="D10" s="30">
        <v>1</v>
      </c>
      <c r="E10" s="30">
        <v>0.05</v>
      </c>
    </row>
    <row r="11" spans="2:5" x14ac:dyDescent="0.5">
      <c r="B11" s="30">
        <v>3</v>
      </c>
      <c r="C11" s="30" t="s">
        <v>72</v>
      </c>
      <c r="D11" s="30">
        <v>1</v>
      </c>
      <c r="E11" s="30">
        <v>0.05</v>
      </c>
    </row>
    <row r="12" spans="2:5" x14ac:dyDescent="0.5">
      <c r="B12" s="30">
        <v>4</v>
      </c>
      <c r="C12" s="30" t="s">
        <v>73</v>
      </c>
      <c r="D12" s="30">
        <v>1</v>
      </c>
      <c r="E12" s="30">
        <v>0.1</v>
      </c>
    </row>
    <row r="13" spans="2:5" x14ac:dyDescent="0.5">
      <c r="B13" s="30">
        <v>5</v>
      </c>
      <c r="C13" s="30" t="s">
        <v>74</v>
      </c>
      <c r="D13" s="30">
        <v>4</v>
      </c>
      <c r="E13" s="30">
        <v>0.01</v>
      </c>
    </row>
    <row r="14" spans="2:5" x14ac:dyDescent="0.5">
      <c r="B14" s="30">
        <v>6</v>
      </c>
      <c r="C14" s="30" t="s">
        <v>75</v>
      </c>
      <c r="D14" s="30">
        <v>1</v>
      </c>
      <c r="E14" s="30">
        <v>0.1</v>
      </c>
    </row>
    <row r="15" spans="2:5" x14ac:dyDescent="0.5">
      <c r="B15" s="30">
        <v>7</v>
      </c>
      <c r="C15" s="30" t="s">
        <v>76</v>
      </c>
      <c r="D15" s="30">
        <v>1</v>
      </c>
      <c r="E15" s="30">
        <v>0.1</v>
      </c>
    </row>
    <row r="16" spans="2:5" x14ac:dyDescent="0.5">
      <c r="B16" s="30">
        <v>8</v>
      </c>
      <c r="C16" s="30" t="s">
        <v>77</v>
      </c>
      <c r="D16" s="30">
        <v>1</v>
      </c>
      <c r="E16" s="30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482600</xdr:colOff>
                    <xdr:row>2</xdr:row>
                    <xdr:rowOff>84667</xdr:rowOff>
                  </from>
                  <to>
                    <xdr:col>3</xdr:col>
                    <xdr:colOff>977900</xdr:colOff>
                    <xdr:row>4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2018-04-19T16:36:53Z</dcterms:modified>
</cp:coreProperties>
</file>