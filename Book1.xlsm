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\Desktop\TE\TE566\"/>
    </mc:Choice>
  </mc:AlternateContent>
  <xr:revisionPtr revIDLastSave="0" documentId="13_ncr:1_{618EEEAC-8269-43F2-8185-64AD79555249}" xr6:coauthVersionLast="31" xr6:coauthVersionMax="31" xr10:uidLastSave="{00000000-0000-0000-0000-000000000000}"/>
  <bookViews>
    <workbookView xWindow="0" yWindow="0" windowWidth="28800" windowHeight="12227" activeTab="6" xr2:uid="{9E34826B-AEF4-4B5B-A16C-E0CEF96E96D8}"/>
  </bookViews>
  <sheets>
    <sheet name="Main_Menu" sheetId="1" r:id="rId1"/>
    <sheet name="Customers" sheetId="3" r:id="rId2"/>
    <sheet name="Vendors" sheetId="4" r:id="rId3"/>
    <sheet name="Employees" sheetId="2" r:id="rId4"/>
    <sheet name="Payroll_Payments" sheetId="5" r:id="rId5"/>
    <sheet name="Income_Statement" sheetId="6" r:id="rId6"/>
    <sheet name="Balance_sheet" sheetId="7" r:id="rId7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7" l="1"/>
  <c r="D8" i="6"/>
  <c r="D19" i="6" s="1"/>
  <c r="D20" i="6" l="1"/>
  <c r="D21" i="6" s="1"/>
</calcChain>
</file>

<file path=xl/sharedStrings.xml><?xml version="1.0" encoding="utf-8"?>
<sst xmlns="http://schemas.openxmlformats.org/spreadsheetml/2006/main" count="73" uniqueCount="61">
  <si>
    <t>Last Name</t>
  </si>
  <si>
    <t>First Name</t>
  </si>
  <si>
    <t>Address Line 1</t>
  </si>
  <si>
    <t>Address Line 2</t>
  </si>
  <si>
    <t>City</t>
  </si>
  <si>
    <t>State</t>
  </si>
  <si>
    <t>Zip</t>
  </si>
  <si>
    <t>Social Security #</t>
  </si>
  <si>
    <t># of Withholdings</t>
  </si>
  <si>
    <t>Salary</t>
  </si>
  <si>
    <t>Company Name</t>
  </si>
  <si>
    <t>Vendor Name</t>
  </si>
  <si>
    <t xml:space="preserve">Part </t>
  </si>
  <si>
    <t>Price/Unit</t>
  </si>
  <si>
    <t>Sid</t>
  </si>
  <si>
    <t>Name 2</t>
  </si>
  <si>
    <t>Name 3</t>
  </si>
  <si>
    <t>Date Paid</t>
  </si>
  <si>
    <t>Employee</t>
  </si>
  <si>
    <t>Disbursement</t>
  </si>
  <si>
    <t>Witholding (25%)</t>
  </si>
  <si>
    <t>Total Payroll Expenses</t>
  </si>
  <si>
    <t>Total Witholding</t>
  </si>
  <si>
    <t>17/04/18</t>
  </si>
  <si>
    <t>testlast</t>
  </si>
  <si>
    <t>Testfirst</t>
  </si>
  <si>
    <t>Testfirsttestlast</t>
  </si>
  <si>
    <t>Sales</t>
  </si>
  <si>
    <t>COGS</t>
  </si>
  <si>
    <t>Gross Profit</t>
  </si>
  <si>
    <t>Expenses</t>
  </si>
  <si>
    <t>Payroll</t>
  </si>
  <si>
    <t>Payroll Withholding</t>
  </si>
  <si>
    <t>Bills</t>
  </si>
  <si>
    <t>Annual Expenses</t>
  </si>
  <si>
    <t>Total Expenses</t>
  </si>
  <si>
    <t>Other Income</t>
  </si>
  <si>
    <t>Operating Income</t>
  </si>
  <si>
    <t>Income Taxes</t>
  </si>
  <si>
    <t>Net Income</t>
  </si>
  <si>
    <t>Income Statement</t>
  </si>
  <si>
    <t>Cash</t>
  </si>
  <si>
    <t>Accounts Receivable</t>
  </si>
  <si>
    <t>Inventory</t>
  </si>
  <si>
    <t>Total Current Assets</t>
  </si>
  <si>
    <t>Land/Buildings</t>
  </si>
  <si>
    <t>Equipment</t>
  </si>
  <si>
    <t>Furniture and Fixtures</t>
  </si>
  <si>
    <t>Total Assets</t>
  </si>
  <si>
    <t>Total Fixed Assets</t>
  </si>
  <si>
    <t>Accounts Payable</t>
  </si>
  <si>
    <t>Notes Payable</t>
  </si>
  <si>
    <t>Accurals</t>
  </si>
  <si>
    <t>Total Current Liabilities</t>
  </si>
  <si>
    <t>Mortgage</t>
  </si>
  <si>
    <t>Total Long Term Debt</t>
  </si>
  <si>
    <t xml:space="preserve">Total Liabilities </t>
  </si>
  <si>
    <t>Net Worth</t>
  </si>
  <si>
    <t xml:space="preserve">Total Liabilities &amp; Net Worth </t>
  </si>
  <si>
    <t>ASSETS</t>
  </si>
  <si>
    <t>LIABILITIES AND NET WORTH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</si>
</sst>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Fill="1" applyBorder="1"/>
    <xf numFmtId="0" fontId="2" fillId="0" borderId="2" xfId="0" applyFont="1" applyFill="1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0" borderId="6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7" xfId="0" applyFont="1" applyBorder="1"/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0" xfId="0" applyBorder="1"/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84667</xdr:colOff>
          <xdr:row>8</xdr:row>
          <xdr:rowOff>84667</xdr:rowOff>
        </xdr:from>
        <xdr:to>
          <xdr:col>4</xdr:col>
          <xdr:colOff>38100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122767</xdr:colOff>
          <xdr:row>5</xdr:row>
          <xdr:rowOff>8467</xdr:rowOff>
        </xdr:from>
        <xdr:to>
          <xdr:col>4</xdr:col>
          <xdr:colOff>59267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21167</xdr:colOff>
          <xdr:row>6</xdr:row>
          <xdr:rowOff>182033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8467</xdr:colOff>
          <xdr:row>8</xdr:row>
          <xdr:rowOff>8467</xdr:rowOff>
        </xdr:from>
        <xdr:to>
          <xdr:col>7</xdr:col>
          <xdr:colOff>601133</xdr:colOff>
          <xdr:row>9</xdr:row>
          <xdr:rowOff>173567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5</xdr:row>
          <xdr:rowOff>0</xdr:rowOff>
        </xdr:from>
        <xdr:to>
          <xdr:col>12</xdr:col>
          <xdr:colOff>21167</xdr:colOff>
          <xdr:row>7</xdr:row>
          <xdr:rowOff>21167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8</xdr:row>
          <xdr:rowOff>8467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21167</xdr:colOff>
          <xdr:row>12</xdr:row>
          <xdr:rowOff>12700</xdr:rowOff>
        </xdr:from>
        <xdr:to>
          <xdr:col>4</xdr:col>
          <xdr:colOff>16933</xdr:colOff>
          <xdr:row>13</xdr:row>
          <xdr:rowOff>173567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609ADA6F-9687-434C-A869-AE7C5722C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Read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12</xdr:row>
          <xdr:rowOff>0</xdr:rowOff>
        </xdr:from>
        <xdr:to>
          <xdr:col>8</xdr:col>
          <xdr:colOff>12700</xdr:colOff>
          <xdr:row>14</xdr:row>
          <xdr:rowOff>4233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E9FDE041-C088-46CA-84D1-274FC3D15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 Employees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630767</xdr:colOff>
          <xdr:row>3</xdr:row>
          <xdr:rowOff>21167</xdr:rowOff>
        </xdr:from>
        <xdr:to>
          <xdr:col>12</xdr:col>
          <xdr:colOff>304800</xdr:colOff>
          <xdr:row>5</xdr:row>
          <xdr:rowOff>21167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630767</xdr:colOff>
          <xdr:row>1</xdr:row>
          <xdr:rowOff>21167</xdr:rowOff>
        </xdr:from>
        <xdr:to>
          <xdr:col>12</xdr:col>
          <xdr:colOff>304800</xdr:colOff>
          <xdr:row>3</xdr:row>
          <xdr:rowOff>21167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389467</xdr:colOff>
          <xdr:row>2</xdr:row>
          <xdr:rowOff>173567</xdr:rowOff>
        </xdr:from>
        <xdr:to>
          <xdr:col>14</xdr:col>
          <xdr:colOff>427567</xdr:colOff>
          <xdr:row>4</xdr:row>
          <xdr:rowOff>173567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59266</xdr:colOff>
          <xdr:row>1</xdr:row>
          <xdr:rowOff>21167</xdr:rowOff>
        </xdr:from>
        <xdr:to>
          <xdr:col>5</xdr:col>
          <xdr:colOff>563033</xdr:colOff>
          <xdr:row>3</xdr:row>
          <xdr:rowOff>97367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B04E6953-776D-4557-9DD6-D73D78740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BB8C-E013-40B5-A9C6-E33AD09CE4BB}">
  <sheetPr codeName="Sheet1"/>
  <dimension ref="A1"/>
  <sheetViews>
    <sheetView workbookViewId="0">
      <selection activeCell="K13" sqref="K13:L14"/>
    </sheetView>
  </sheetViews>
  <sheetFormatPr defaultRowHeight="14.35" x14ac:dyDescent="0.5"/>
  <sheetData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Employees_Click">
                <anchor moveWithCells="1" sizeWithCells="1">
                  <from>
                    <xdr:col>2</xdr:col>
                    <xdr:colOff>84667</xdr:colOff>
                    <xdr:row>8</xdr:row>
                    <xdr:rowOff>84667</xdr:rowOff>
                  </from>
                  <to>
                    <xdr:col>4</xdr:col>
                    <xdr:colOff>38100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mployees_Click">
                <anchor moveWithCells="1" sizeWithCells="1">
                  <from>
                    <xdr:col>2</xdr:col>
                    <xdr:colOff>122767</xdr:colOff>
                    <xdr:row>5</xdr:row>
                    <xdr:rowOff>8467</xdr:rowOff>
                  </from>
                  <to>
                    <xdr:col>4</xdr:col>
                    <xdr:colOff>59267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Customers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21167</xdr:colOff>
                    <xdr:row>6</xdr:row>
                    <xdr:rowOff>182033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Customer_Click">
                <anchor moveWithCells="1" sizeWithCells="1">
                  <from>
                    <xdr:col>6</xdr:col>
                    <xdr:colOff>8467</xdr:colOff>
                    <xdr:row>8</xdr:row>
                    <xdr:rowOff>8467</xdr:rowOff>
                  </from>
                  <to>
                    <xdr:col>7</xdr:col>
                    <xdr:colOff>601133</xdr:colOff>
                    <xdr:row>9</xdr:row>
                    <xdr:rowOff>173567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Vendors_Click">
                <anchor moveWithCells="1" sizeWithCells="1">
                  <from>
                    <xdr:col>10</xdr:col>
                    <xdr:colOff>8467</xdr:colOff>
                    <xdr:row>5</xdr:row>
                    <xdr:rowOff>0</xdr:rowOff>
                  </from>
                  <to>
                    <xdr:col>12</xdr:col>
                    <xdr:colOff>21167</xdr:colOff>
                    <xdr:row>7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dVendor_Click">
                <anchor moveWithCells="1" sizeWithCells="1">
                  <from>
                    <xdr:col>10</xdr:col>
                    <xdr:colOff>8467</xdr:colOff>
                    <xdr:row>8</xdr:row>
                    <xdr:rowOff>8467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Column">
                <anchor moveWithCells="1" sizeWithCells="1">
                  <from>
                    <xdr:col>2</xdr:col>
                    <xdr:colOff>21167</xdr:colOff>
                    <xdr:row>12</xdr:row>
                    <xdr:rowOff>12700</xdr:rowOff>
                  </from>
                  <to>
                    <xdr:col>4</xdr:col>
                    <xdr:colOff>16933</xdr:colOff>
                    <xdr:row>13</xdr:row>
                    <xdr:rowOff>173567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PayEmployees_Click">
                <anchor moveWithCells="1" siz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8</xdr:col>
                    <xdr:colOff>12700</xdr:colOff>
                    <xdr:row>14</xdr:row>
                    <xdr:rowOff>4233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32A8-EFC7-45C1-8F52-953DF19B8486}">
  <sheetPr codeName="Sheet3"/>
  <dimension ref="A1:P35"/>
  <sheetViews>
    <sheetView showGridLines="0" workbookViewId="0">
      <selection activeCell="B3" sqref="B3:I4"/>
    </sheetView>
  </sheetViews>
  <sheetFormatPr defaultColWidth="11.87890625" defaultRowHeight="14.35" x14ac:dyDescent="0.5"/>
  <cols>
    <col min="2" max="2" width="15.1171875" bestFit="1" customWidth="1"/>
    <col min="5" max="6" width="13.87890625" bestFit="1" customWidth="1"/>
    <col min="7" max="7" width="10.29296875" customWidth="1"/>
    <col min="8" max="8" width="14.29296875" customWidth="1"/>
  </cols>
  <sheetData>
    <row r="1" spans="1:13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5">
      <c r="A4" s="1"/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  <c r="G4" s="2" t="s">
        <v>4</v>
      </c>
      <c r="H4" s="2" t="s">
        <v>5</v>
      </c>
      <c r="I4" s="2" t="s">
        <v>6</v>
      </c>
      <c r="J4" s="1"/>
      <c r="K4" s="1"/>
      <c r="L4" s="1"/>
      <c r="M4" s="1"/>
    </row>
    <row r="5" spans="1:13" x14ac:dyDescent="0.5">
      <c r="A5" s="1"/>
      <c r="E5" s="1"/>
      <c r="F5" s="1"/>
      <c r="G5" s="1"/>
      <c r="H5" s="1"/>
      <c r="I5" s="1"/>
      <c r="J5" s="1"/>
      <c r="K5" s="1"/>
      <c r="L5" s="1"/>
      <c r="M5" s="1"/>
    </row>
    <row r="35" spans="14:16" x14ac:dyDescent="0.5">
      <c r="N35" s="1"/>
      <c r="O35" s="1"/>
      <c r="P3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MainMenu_Click">
                <anchor moveWithCells="1" sizeWithCells="1">
                  <from>
                    <xdr:col>10</xdr:col>
                    <xdr:colOff>630767</xdr:colOff>
                    <xdr:row>3</xdr:row>
                    <xdr:rowOff>21167</xdr:rowOff>
                  </from>
                  <to>
                    <xdr:col>12</xdr:col>
                    <xdr:colOff>304800</xdr:colOff>
                    <xdr:row>5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0A4A-8F93-4661-895D-31BF6AFB48EB}">
  <sheetPr codeName="Sheet4"/>
  <dimension ref="A1:M3"/>
  <sheetViews>
    <sheetView showGridLines="0" workbookViewId="0">
      <selection activeCell="C6" sqref="C6"/>
    </sheetView>
  </sheetViews>
  <sheetFormatPr defaultRowHeight="14.35" x14ac:dyDescent="0.5"/>
  <cols>
    <col min="2" max="2" width="15.1171875" bestFit="1" customWidth="1"/>
    <col min="3" max="3" width="10.1171875" bestFit="1" customWidth="1"/>
    <col min="4" max="4" width="10.5859375" bestFit="1" customWidth="1"/>
    <col min="5" max="6" width="13.87890625" bestFit="1" customWidth="1"/>
  </cols>
  <sheetData>
    <row r="1" spans="1:13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5">
      <c r="A2" s="1"/>
      <c r="B2" s="2" t="s">
        <v>11</v>
      </c>
      <c r="C2" s="2" t="s">
        <v>12</v>
      </c>
      <c r="D2" s="2" t="s">
        <v>13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1"/>
      <c r="K2" s="1"/>
      <c r="L2" s="1"/>
      <c r="M2" s="1"/>
    </row>
    <row r="3" spans="1:13" x14ac:dyDescent="0.5">
      <c r="A3" s="1"/>
      <c r="E3" s="1"/>
      <c r="F3" s="1"/>
      <c r="G3" s="1"/>
      <c r="H3" s="1"/>
      <c r="I3" s="1"/>
      <c r="J3" s="1"/>
      <c r="K3" s="1"/>
      <c r="L3" s="1"/>
      <c r="M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MainMenu_Click">
                <anchor moveWithCells="1" sizeWithCells="1">
                  <from>
                    <xdr:col>10</xdr:col>
                    <xdr:colOff>630767</xdr:colOff>
                    <xdr:row>1</xdr:row>
                    <xdr:rowOff>21167</xdr:rowOff>
                  </from>
                  <to>
                    <xdr:col>12</xdr:col>
                    <xdr:colOff>304800</xdr:colOff>
                    <xdr:row>3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E954-0A09-4622-AA38-5639E44A04C3}">
  <sheetPr codeName="Sheet2"/>
  <dimension ref="B4:K9"/>
  <sheetViews>
    <sheetView showGridLines="0" topLeftCell="E1" workbookViewId="0">
      <selection activeCell="D8" sqref="D8"/>
    </sheetView>
  </sheetViews>
  <sheetFormatPr defaultColWidth="9.1171875" defaultRowHeight="14.35" x14ac:dyDescent="0.5"/>
  <cols>
    <col min="1" max="1" width="9.1171875" style="1"/>
    <col min="2" max="2" width="19.1171875" style="1" customWidth="1"/>
    <col min="3" max="3" width="22.87890625" style="1" customWidth="1"/>
    <col min="4" max="4" width="31.87890625" style="1" customWidth="1"/>
    <col min="5" max="5" width="30.41015625" style="1" customWidth="1"/>
    <col min="6" max="6" width="12.41015625" style="1" customWidth="1"/>
    <col min="7" max="7" width="10.1171875" style="1" customWidth="1"/>
    <col min="8" max="8" width="11.41015625" style="1" customWidth="1"/>
    <col min="9" max="9" width="15.29296875" style="1" bestFit="1" customWidth="1"/>
    <col min="10" max="10" width="16.703125" style="1" bestFit="1" customWidth="1"/>
    <col min="11" max="16384" width="9.1171875" style="1"/>
  </cols>
  <sheetData>
    <row r="4" spans="2:11" x14ac:dyDescent="0.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</row>
    <row r="5" spans="2:11" x14ac:dyDescent="0.5">
      <c r="B5" s="1">
        <v>1</v>
      </c>
      <c r="C5" s="1" t="s">
        <v>14</v>
      </c>
    </row>
    <row r="6" spans="2:11" x14ac:dyDescent="0.5">
      <c r="B6" s="1">
        <v>4</v>
      </c>
      <c r="C6" s="1" t="s">
        <v>15</v>
      </c>
    </row>
    <row r="7" spans="2:11" x14ac:dyDescent="0.5">
      <c r="B7" s="1">
        <v>5</v>
      </c>
      <c r="C7" s="3" t="s">
        <v>16</v>
      </c>
    </row>
    <row r="8" spans="2:11" x14ac:dyDescent="0.5">
      <c r="B8" s="3" t="s">
        <v>24</v>
      </c>
      <c r="C8" s="1" t="s">
        <v>25</v>
      </c>
      <c r="K8" s="1">
        <v>1234</v>
      </c>
    </row>
    <row r="9" spans="2:11" x14ac:dyDescent="0.5">
      <c r="B9" s="3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MainMenu_Click">
                <anchor moveWithCells="1" sizeWithCells="1">
                  <from>
                    <xdr:col>12</xdr:col>
                    <xdr:colOff>389467</xdr:colOff>
                    <xdr:row>2</xdr:row>
                    <xdr:rowOff>173567</xdr:rowOff>
                  </from>
                  <to>
                    <xdr:col>14</xdr:col>
                    <xdr:colOff>427567</xdr:colOff>
                    <xdr:row>4</xdr:row>
                    <xdr:rowOff>173567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CCE1-95D0-4E71-9DAB-5090C60E3F0C}">
  <sheetPr codeName="Sheet5"/>
  <dimension ref="B3:I7"/>
  <sheetViews>
    <sheetView showGridLines="0" workbookViewId="0">
      <selection activeCell="F12" sqref="F12"/>
    </sheetView>
  </sheetViews>
  <sheetFormatPr defaultRowHeight="14.35" x14ac:dyDescent="0.5"/>
  <cols>
    <col min="4" max="4" width="11.703125" bestFit="1" customWidth="1"/>
    <col min="5" max="5" width="14.52734375" bestFit="1" customWidth="1"/>
    <col min="7" max="7" width="18.3515625" bestFit="1" customWidth="1"/>
  </cols>
  <sheetData>
    <row r="3" spans="2:9" x14ac:dyDescent="0.5">
      <c r="B3" s="1"/>
      <c r="C3" s="1"/>
      <c r="D3" s="1"/>
      <c r="E3" s="1"/>
      <c r="F3" s="1"/>
      <c r="G3" s="1"/>
      <c r="H3" s="1"/>
      <c r="I3" s="1"/>
    </row>
    <row r="4" spans="2:9" ht="14.7" thickBot="1" x14ac:dyDescent="0.55000000000000004">
      <c r="B4" s="1"/>
      <c r="C4" s="1"/>
      <c r="D4" s="1"/>
      <c r="E4" s="1"/>
      <c r="F4" s="1"/>
      <c r="G4" s="1"/>
      <c r="H4" s="1"/>
      <c r="I4" s="1"/>
    </row>
    <row r="5" spans="2:9" x14ac:dyDescent="0.5">
      <c r="B5" s="1"/>
      <c r="C5" s="1"/>
      <c r="D5" s="1"/>
      <c r="E5" s="1"/>
      <c r="F5" s="1"/>
      <c r="G5" s="4" t="s">
        <v>21</v>
      </c>
      <c r="H5" s="5">
        <v>0</v>
      </c>
      <c r="I5" s="1"/>
    </row>
    <row r="6" spans="2:9" ht="14.7" thickBot="1" x14ac:dyDescent="0.55000000000000004">
      <c r="B6" s="2" t="s">
        <v>17</v>
      </c>
      <c r="C6" s="2" t="s">
        <v>18</v>
      </c>
      <c r="D6" s="2" t="s">
        <v>19</v>
      </c>
      <c r="E6" s="2" t="s">
        <v>20</v>
      </c>
      <c r="F6" s="1"/>
      <c r="G6" s="6" t="s">
        <v>22</v>
      </c>
      <c r="H6" s="7">
        <v>0</v>
      </c>
      <c r="I6" s="1"/>
    </row>
    <row r="7" spans="2:9" x14ac:dyDescent="0.5">
      <c r="B7" t="s">
        <v>23</v>
      </c>
      <c r="C7" t="s">
        <v>26</v>
      </c>
      <c r="E7">
        <v>1234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59267</xdr:colOff>
                    <xdr:row>1</xdr:row>
                    <xdr:rowOff>21167</xdr:rowOff>
                  </from>
                  <to>
                    <xdr:col>5</xdr:col>
                    <xdr:colOff>563033</xdr:colOff>
                    <xdr:row>3</xdr:row>
                    <xdr:rowOff>97367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B43E-4A36-4149-BE4B-A95FE0B6E3CA}">
  <sheetPr codeName="Sheet6"/>
  <dimension ref="C4:D22"/>
  <sheetViews>
    <sheetView showGridLines="0" workbookViewId="0">
      <selection activeCell="C5" sqref="C5:D21"/>
    </sheetView>
  </sheetViews>
  <sheetFormatPr defaultRowHeight="14.35" x14ac:dyDescent="0.5"/>
  <cols>
    <col min="3" max="3" width="20.41015625" customWidth="1"/>
    <col min="4" max="4" width="14.8203125" customWidth="1"/>
  </cols>
  <sheetData>
    <row r="4" spans="3:4" ht="14.7" thickBot="1" x14ac:dyDescent="0.55000000000000004"/>
    <row r="5" spans="3:4" ht="14.7" thickBot="1" x14ac:dyDescent="0.55000000000000004">
      <c r="C5" s="11" t="s">
        <v>40</v>
      </c>
      <c r="D5" s="12"/>
    </row>
    <row r="6" spans="3:4" x14ac:dyDescent="0.5">
      <c r="C6" s="8" t="s">
        <v>27</v>
      </c>
      <c r="D6" s="9">
        <v>52412.5</v>
      </c>
    </row>
    <row r="7" spans="3:4" x14ac:dyDescent="0.5">
      <c r="C7" s="8" t="s">
        <v>28</v>
      </c>
      <c r="D7" s="9">
        <v>16143.1</v>
      </c>
    </row>
    <row r="8" spans="3:4" x14ac:dyDescent="0.5">
      <c r="C8" s="13" t="s">
        <v>29</v>
      </c>
      <c r="D8" s="16">
        <f>D6 - D7</f>
        <v>36269.4</v>
      </c>
    </row>
    <row r="9" spans="3:4" x14ac:dyDescent="0.5">
      <c r="C9" s="8"/>
      <c r="D9" s="9"/>
    </row>
    <row r="10" spans="3:4" x14ac:dyDescent="0.5">
      <c r="C10" s="8" t="s">
        <v>30</v>
      </c>
      <c r="D10" s="9"/>
    </row>
    <row r="11" spans="3:4" x14ac:dyDescent="0.5">
      <c r="C11" s="8" t="s">
        <v>31</v>
      </c>
      <c r="D11" s="9">
        <v>9375</v>
      </c>
    </row>
    <row r="12" spans="3:4" x14ac:dyDescent="0.5">
      <c r="C12" s="8" t="s">
        <v>32</v>
      </c>
      <c r="D12" s="9">
        <v>3125</v>
      </c>
    </row>
    <row r="13" spans="3:4" x14ac:dyDescent="0.5">
      <c r="C13" s="8" t="s">
        <v>33</v>
      </c>
      <c r="D13" s="9">
        <v>1250</v>
      </c>
    </row>
    <row r="14" spans="3:4" x14ac:dyDescent="0.5">
      <c r="C14" s="13" t="s">
        <v>34</v>
      </c>
      <c r="D14" s="9">
        <v>13750</v>
      </c>
    </row>
    <row r="15" spans="3:4" x14ac:dyDescent="0.5">
      <c r="C15" s="8"/>
      <c r="D15" s="9"/>
    </row>
    <row r="16" spans="3:4" x14ac:dyDescent="0.5">
      <c r="C16" s="8"/>
      <c r="D16" s="9"/>
    </row>
    <row r="17" spans="3:4" x14ac:dyDescent="0.5">
      <c r="C17" s="13" t="s">
        <v>35</v>
      </c>
      <c r="D17" s="9">
        <v>24375</v>
      </c>
    </row>
    <row r="18" spans="3:4" x14ac:dyDescent="0.5">
      <c r="C18" s="8" t="s">
        <v>36</v>
      </c>
      <c r="D18" s="9"/>
    </row>
    <row r="19" spans="3:4" x14ac:dyDescent="0.5">
      <c r="C19" s="8" t="s">
        <v>37</v>
      </c>
      <c r="D19" s="9">
        <f>D8-D17</f>
        <v>11894.400000000001</v>
      </c>
    </row>
    <row r="20" spans="3:4" x14ac:dyDescent="0.5">
      <c r="C20" s="8" t="s">
        <v>38</v>
      </c>
      <c r="D20" s="9">
        <f xml:space="preserve"> 0.2 *D19</f>
        <v>2378.8800000000006</v>
      </c>
    </row>
    <row r="21" spans="3:4" ht="14.7" thickBot="1" x14ac:dyDescent="0.55000000000000004">
      <c r="C21" s="6" t="s">
        <v>39</v>
      </c>
      <c r="D21" s="15">
        <f xml:space="preserve"> D19 - D20</f>
        <v>9515.52</v>
      </c>
    </row>
    <row r="22" spans="3:4" x14ac:dyDescent="0.5">
      <c r="C22" s="14"/>
      <c r="D22" s="1"/>
    </row>
  </sheetData>
  <mergeCells count="1">
    <mergeCell ref="C5:D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955-E52C-47FE-A2F8-EFDF126C48E4}">
  <sheetPr codeName="Sheet7"/>
  <dimension ref="D3:G20"/>
  <sheetViews>
    <sheetView tabSelected="1" topLeftCell="B1" workbookViewId="0">
      <selection activeCell="G15" sqref="G15"/>
    </sheetView>
  </sheetViews>
  <sheetFormatPr defaultRowHeight="14.35" x14ac:dyDescent="0.5"/>
  <cols>
    <col min="4" max="4" width="16.41015625" bestFit="1" customWidth="1"/>
    <col min="5" max="5" width="19.3515625" customWidth="1"/>
    <col min="6" max="6" width="28.52734375" customWidth="1"/>
    <col min="7" max="7" width="26.234375" customWidth="1"/>
  </cols>
  <sheetData>
    <row r="3" spans="4:7" ht="14.7" thickBot="1" x14ac:dyDescent="0.55000000000000004"/>
    <row r="4" spans="4:7" x14ac:dyDescent="0.5">
      <c r="D4" s="21" t="s">
        <v>59</v>
      </c>
      <c r="E4" s="22"/>
      <c r="F4" s="22" t="s">
        <v>60</v>
      </c>
      <c r="G4" s="23"/>
    </row>
    <row r="5" spans="4:7" x14ac:dyDescent="0.5">
      <c r="D5" s="17"/>
      <c r="E5" s="20"/>
      <c r="F5" s="20"/>
      <c r="G5" s="18"/>
    </row>
    <row r="6" spans="4:7" x14ac:dyDescent="0.5">
      <c r="D6" s="8" t="s">
        <v>41</v>
      </c>
      <c r="E6" s="1">
        <v>52412.5</v>
      </c>
      <c r="F6" s="1" t="s">
        <v>50</v>
      </c>
      <c r="G6" s="9"/>
    </row>
    <row r="7" spans="4:7" x14ac:dyDescent="0.5">
      <c r="D7" s="8" t="s">
        <v>42</v>
      </c>
      <c r="E7" s="1">
        <v>16143.1</v>
      </c>
      <c r="F7" s="1" t="s">
        <v>51</v>
      </c>
      <c r="G7" s="9"/>
    </row>
    <row r="8" spans="4:7" x14ac:dyDescent="0.5">
      <c r="D8" s="13" t="s">
        <v>43</v>
      </c>
      <c r="E8" s="14">
        <f>E6 - E7</f>
        <v>36269.4</v>
      </c>
      <c r="F8" s="14" t="s">
        <v>52</v>
      </c>
      <c r="G8" s="16"/>
    </row>
    <row r="9" spans="4:7" x14ac:dyDescent="0.5">
      <c r="D9" s="8" t="s">
        <v>44</v>
      </c>
      <c r="E9" s="1"/>
      <c r="F9" s="1" t="s">
        <v>53</v>
      </c>
      <c r="G9" s="9"/>
    </row>
    <row r="10" spans="4:7" x14ac:dyDescent="0.5">
      <c r="D10" s="8"/>
      <c r="E10" s="1"/>
      <c r="F10" s="1"/>
      <c r="G10" s="9"/>
    </row>
    <row r="11" spans="4:7" x14ac:dyDescent="0.5">
      <c r="D11" s="8" t="s">
        <v>45</v>
      </c>
      <c r="E11" s="1">
        <v>9375</v>
      </c>
      <c r="F11" s="1" t="s">
        <v>54</v>
      </c>
      <c r="G11" s="9"/>
    </row>
    <row r="12" spans="4:7" x14ac:dyDescent="0.5">
      <c r="D12" s="8" t="s">
        <v>46</v>
      </c>
      <c r="E12" s="1">
        <v>3125</v>
      </c>
      <c r="F12" s="1" t="s">
        <v>55</v>
      </c>
      <c r="G12" s="9"/>
    </row>
    <row r="13" spans="4:7" x14ac:dyDescent="0.5">
      <c r="D13" s="8" t="s">
        <v>47</v>
      </c>
      <c r="E13" s="1">
        <v>1250</v>
      </c>
      <c r="F13" s="1"/>
      <c r="G13" s="9"/>
    </row>
    <row r="14" spans="4:7" x14ac:dyDescent="0.5">
      <c r="D14" s="13" t="s">
        <v>49</v>
      </c>
      <c r="E14" s="1">
        <v>13750</v>
      </c>
      <c r="F14" s="1" t="s">
        <v>56</v>
      </c>
      <c r="G14" s="9"/>
    </row>
    <row r="15" spans="4:7" x14ac:dyDescent="0.5">
      <c r="D15" s="8"/>
      <c r="E15" s="1"/>
      <c r="F15" s="1"/>
      <c r="G15" s="9"/>
    </row>
    <row r="16" spans="4:7" x14ac:dyDescent="0.5">
      <c r="D16" s="8"/>
      <c r="E16" s="1"/>
      <c r="F16" s="1" t="s">
        <v>57</v>
      </c>
      <c r="G16" s="9"/>
    </row>
    <row r="17" spans="4:7" x14ac:dyDescent="0.5">
      <c r="D17" s="13" t="s">
        <v>48</v>
      </c>
      <c r="E17" s="1">
        <v>24375</v>
      </c>
      <c r="F17" s="14"/>
      <c r="G17" s="9"/>
    </row>
    <row r="18" spans="4:7" x14ac:dyDescent="0.5">
      <c r="D18" s="8"/>
      <c r="E18" s="1"/>
      <c r="F18" s="1" t="s">
        <v>58</v>
      </c>
      <c r="G18" s="9"/>
    </row>
    <row r="19" spans="4:7" x14ac:dyDescent="0.5">
      <c r="D19" s="8"/>
      <c r="E19" s="1"/>
      <c r="F19" s="1"/>
      <c r="G19" s="9"/>
    </row>
    <row r="20" spans="4:7" ht="14.7" thickBot="1" x14ac:dyDescent="0.55000000000000004">
      <c r="D20" s="10"/>
      <c r="E20" s="19"/>
      <c r="F20" s="19"/>
      <c r="G20" s="7"/>
    </row>
  </sheetData>
  <mergeCells count="2">
    <mergeCell ref="D4:E4"/>
    <mergeCell ref="F4:G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Main_Menu</vt:lpstr>
      <vt:lpstr>Customers</vt:lpstr>
      <vt:lpstr>Vendors</vt:lpstr>
      <vt:lpstr>Employees</vt:lpstr>
      <vt:lpstr>Payroll_Payments</vt:lpstr>
      <vt:lpstr>Income_Statement</vt:lpstr>
      <vt:lpstr>Balance_sheet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Vaitha, Sidharth</dc:creator>
  <cp:lastModifiedBy>sid</cp:lastModifiedBy>
  <dcterms:created xsi:type="dcterms:W3CDTF">2018-04-15T20:53:06Z</dcterms:created>
  <dcterms:modified xsi:type="dcterms:W3CDTF">2018-04-18T02:30:27Z</dcterms:modified>
</cp:coreProperties>
</file>