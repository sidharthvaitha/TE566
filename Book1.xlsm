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CAA51A6D-D36C-4786-A457-CB78C6475A4A}" xr6:coauthVersionLast="31" xr6:coauthVersionMax="31" xr10:uidLastSave="{00000000-0000-0000-0000-000000000000}"/>
  <bookViews>
    <workbookView xWindow="0" yWindow="0" windowWidth="28800" windowHeight="12227" tabRatio="593" firstSheet="4" activeTab="5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  <sheet name="Inventory" sheetId="8" r:id="rId8"/>
    <sheet name="Invoices" sheetId="10" r:id="rId9"/>
    <sheet name="Purchase_Orders" sheetId="11" r:id="rId10"/>
    <sheet name="Items" sheetId="9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1" l="1"/>
  <c r="L7" i="11"/>
  <c r="G20" i="7"/>
  <c r="G14" i="7"/>
  <c r="G18" i="7"/>
  <c r="G12" i="7"/>
  <c r="E17" i="7"/>
  <c r="E9" i="7"/>
  <c r="E14" i="7"/>
  <c r="H6" i="5"/>
  <c r="H5" i="5"/>
  <c r="K6" i="10"/>
  <c r="J9" i="8"/>
  <c r="E9" i="8"/>
  <c r="E10" i="8"/>
  <c r="E11" i="8"/>
  <c r="E12" i="8"/>
  <c r="E13" i="8"/>
  <c r="E14" i="8"/>
  <c r="E15" i="8"/>
  <c r="E8" i="8"/>
  <c r="D8" i="6" l="1"/>
  <c r="D19" i="6" s="1"/>
  <c r="D20" i="6" l="1"/>
  <c r="D21" i="6" s="1"/>
</calcChain>
</file>

<file path=xl/sharedStrings.xml><?xml version="1.0" encoding="utf-8"?>
<sst xmlns="http://schemas.openxmlformats.org/spreadsheetml/2006/main" count="142" uniqueCount="101">
  <si>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</si>
  <si>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</si>
  <si>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</si>
  <si>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</si>
  <si>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</si>
  <si>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</si>
  <si>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</si>
  <si>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</si>
  <si>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# of Withholdings</t>
  </si>
  <si>
    <t>Salary</t>
  </si>
  <si>
    <t>Company Name</t>
  </si>
  <si>
    <t>Vendor Name</t>
  </si>
  <si>
    <t xml:space="preserve">Part </t>
  </si>
  <si>
    <t>Price/Unit</t>
  </si>
  <si>
    <t>Sid</t>
  </si>
  <si>
    <t>Name 2</t>
  </si>
  <si>
    <t>Name 3</t>
  </si>
  <si>
    <t>Date Paid</t>
  </si>
  <si>
    <t>Employee</t>
  </si>
  <si>
    <t>Disbursement</t>
  </si>
  <si>
    <t>Witholding (25%)</t>
  </si>
  <si>
    <t>Total Payroll Expenses</t>
  </si>
  <si>
    <t>Total Witholding</t>
  </si>
  <si>
    <t>17/04/18</t>
  </si>
  <si>
    <t>Name 35</t>
  </si>
  <si>
    <t>testlast</t>
  </si>
  <si>
    <t>Testfirst</t>
  </si>
  <si>
    <t>Testfirsttestlast</t>
  </si>
  <si>
    <t>Sales</t>
  </si>
  <si>
    <t>COGS</t>
  </si>
  <si>
    <t>Gross Profit</t>
  </si>
  <si>
    <t>Expenses</t>
  </si>
  <si>
    <t>Payroll</t>
  </si>
  <si>
    <t>Payroll Withholding</t>
  </si>
  <si>
    <t>Bills</t>
  </si>
  <si>
    <t>Annual Expenses</t>
  </si>
  <si>
    <t>Total Expenses</t>
  </si>
  <si>
    <t>Other Income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</si>
  <si>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</si>
  <si>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</si>
  <si>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</si>
  <si>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</si>
  <si>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</si>
  <si>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</si>
  <si>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</si>
  <si>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</si>
  <si>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</si>
  <si>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</si>
  <si>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</si>
  <si>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</si>
  <si>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</si>
  <si>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</si>
  <si>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</si>
  <si>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</si>
  <si>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</si>
  <si>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</si>
  <si>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</si>
  <si>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</si>
  <si>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ASSETS</t>
  </si>
  <si>
    <t>LIABILITIES AND NET WORTH</t>
  </si>
  <si>
    <t>Part</t>
  </si>
  <si>
    <t xml:space="preserve">Quantity </t>
  </si>
  <si>
    <t>Value</t>
  </si>
  <si>
    <t>ReOrder</t>
  </si>
  <si>
    <t xml:space="preserve">Total Complete units that can be  </t>
  </si>
  <si>
    <t>built from current inventroy</t>
  </si>
  <si>
    <t>Item</t>
  </si>
  <si>
    <t xml:space="preserve">Quantity Per Truck </t>
  </si>
  <si>
    <t xml:space="preserve">Unit Cost </t>
  </si>
  <si>
    <t>Wheels</t>
  </si>
  <si>
    <t>Windshield Glass</t>
  </si>
  <si>
    <t>Interior</t>
  </si>
  <si>
    <t>Tank</t>
  </si>
  <si>
    <t>Axles</t>
  </si>
  <si>
    <t>Cab</t>
  </si>
  <si>
    <t>Body</t>
  </si>
  <si>
    <t>Box (packaging)</t>
  </si>
  <si>
    <t>No.</t>
  </si>
  <si>
    <t>Invoice Number</t>
  </si>
  <si>
    <t>Customer</t>
  </si>
  <si>
    <t>Total</t>
  </si>
  <si>
    <t>Invoices</t>
  </si>
  <si>
    <t>Total Sales</t>
  </si>
  <si>
    <t>Cogs</t>
  </si>
  <si>
    <t>PO Number</t>
  </si>
  <si>
    <t>Supplier</t>
  </si>
  <si>
    <t>Price/Part</t>
  </si>
  <si>
    <t>Date</t>
  </si>
  <si>
    <t>Mr. TRUCK INC</t>
  </si>
  <si>
    <t>chdsfjkhsd</t>
  </si>
  <si>
    <t>hdfkj</t>
  </si>
  <si>
    <t>20/04/18</t>
  </si>
  <si>
    <t>A</t>
  </si>
  <si>
    <t>B</t>
  </si>
  <si>
    <t>C</t>
  </si>
  <si>
    <t>D</t>
  </si>
  <si>
    <t>Net Worth Beginning</t>
  </si>
  <si>
    <t>Net Worth Ending</t>
  </si>
  <si>
    <t xml:space="preserve">Net Worth and Liabilities </t>
  </si>
  <si>
    <t>21/04/18</t>
  </si>
  <si>
    <t>hdfkjchdsfjkhsd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</si>
</sst>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Fill="1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2" fillId="0" borderId="6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7" xfId="0" applyFont="1" applyBorder="1"/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Border="1"/>
    <xf numFmtId="0" fontId="0" fillId="0" borderId="0" xfId="0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0" fillId="0" borderId="2" xfId="0" applyBorder="1"/>
    <xf numFmtId="0" fontId="0" fillId="0" borderId="11" xfId="0" applyBorder="1"/>
    <xf numFmtId="0" fontId="5" fillId="0" borderId="0" xfId="0" applyFont="1" applyBorder="1"/>
    <xf numFmtId="0" fontId="4" fillId="0" borderId="0" xfId="0" applyFont="1" applyBorder="1" applyAlignment="1"/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12" xfId="0" applyBorder="1"/>
    <xf numFmtId="44" fontId="0" fillId="0" borderId="0" xfId="1" applyFont="1"/>
    <xf numFmtId="44" fontId="0" fillId="0" borderId="1" xfId="1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8</xdr:row>
          <xdr:rowOff>84667</xdr:rowOff>
        </xdr:from>
        <xdr:to>
          <xdr:col>4</xdr:col>
          <xdr:colOff>38100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122767</xdr:colOff>
          <xdr:row>5</xdr:row>
          <xdr:rowOff>8467</xdr:rowOff>
        </xdr:from>
        <xdr:to>
          <xdr:col>4</xdr:col>
          <xdr:colOff>59267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21167</xdr:colOff>
          <xdr:row>6</xdr:row>
          <xdr:rowOff>182033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8467</xdr:colOff>
          <xdr:row>8</xdr:row>
          <xdr:rowOff>8467</xdr:rowOff>
        </xdr:from>
        <xdr:to>
          <xdr:col>7</xdr:col>
          <xdr:colOff>601133</xdr:colOff>
          <xdr:row>9</xdr:row>
          <xdr:rowOff>173567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5</xdr:row>
          <xdr:rowOff>0</xdr:rowOff>
        </xdr:from>
        <xdr:to>
          <xdr:col>12</xdr:col>
          <xdr:colOff>21167</xdr:colOff>
          <xdr:row>7</xdr:row>
          <xdr:rowOff>21167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8</xdr:row>
          <xdr:rowOff>8467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385233</xdr:colOff>
          <xdr:row>17</xdr:row>
          <xdr:rowOff>71967</xdr:rowOff>
        </xdr:from>
        <xdr:to>
          <xdr:col>3</xdr:col>
          <xdr:colOff>381000</xdr:colOff>
          <xdr:row>19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Read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626533</xdr:colOff>
          <xdr:row>11</xdr:row>
          <xdr:rowOff>177800</xdr:rowOff>
        </xdr:from>
        <xdr:to>
          <xdr:col>3</xdr:col>
          <xdr:colOff>639233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12</xdr:row>
          <xdr:rowOff>0</xdr:rowOff>
        </xdr:from>
        <xdr:to>
          <xdr:col>8</xdr:col>
          <xdr:colOff>25400</xdr:colOff>
          <xdr:row>14</xdr:row>
          <xdr:rowOff>4233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177800</xdr:rowOff>
        </xdr:from>
        <xdr:to>
          <xdr:col>12</xdr:col>
          <xdr:colOff>12700</xdr:colOff>
          <xdr:row>13</xdr:row>
          <xdr:rowOff>160867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16</xdr:row>
          <xdr:rowOff>12700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626533</xdr:colOff>
          <xdr:row>20</xdr:row>
          <xdr:rowOff>0</xdr:rowOff>
        </xdr:from>
        <xdr:to>
          <xdr:col>6</xdr:col>
          <xdr:colOff>12700</xdr:colOff>
          <xdr:row>22</xdr:row>
          <xdr:rowOff>8467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the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630767</xdr:colOff>
          <xdr:row>19</xdr:row>
          <xdr:rowOff>169333</xdr:rowOff>
        </xdr:from>
        <xdr:to>
          <xdr:col>9</xdr:col>
          <xdr:colOff>21167</xdr:colOff>
          <xdr:row>21</xdr:row>
          <xdr:rowOff>165100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3</xdr:row>
          <xdr:rowOff>21167</xdr:rowOff>
        </xdr:from>
        <xdr:to>
          <xdr:col>12</xdr:col>
          <xdr:colOff>304800</xdr:colOff>
          <xdr:row>5</xdr:row>
          <xdr:rowOff>21167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1</xdr:row>
          <xdr:rowOff>21167</xdr:rowOff>
        </xdr:from>
        <xdr:to>
          <xdr:col>12</xdr:col>
          <xdr:colOff>304800</xdr:colOff>
          <xdr:row>3</xdr:row>
          <xdr:rowOff>21167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389467</xdr:colOff>
          <xdr:row>2</xdr:row>
          <xdr:rowOff>173567</xdr:rowOff>
        </xdr:from>
        <xdr:to>
          <xdr:col>14</xdr:col>
          <xdr:colOff>427567</xdr:colOff>
          <xdr:row>4</xdr:row>
          <xdr:rowOff>173567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59267</xdr:colOff>
          <xdr:row>1</xdr:row>
          <xdr:rowOff>21167</xdr:rowOff>
        </xdr:from>
        <xdr:to>
          <xdr:col>5</xdr:col>
          <xdr:colOff>563033</xdr:colOff>
          <xdr:row>3</xdr:row>
          <xdr:rowOff>97367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173567</xdr:colOff>
          <xdr:row>2</xdr:row>
          <xdr:rowOff>29633</xdr:rowOff>
        </xdr:from>
        <xdr:to>
          <xdr:col>7</xdr:col>
          <xdr:colOff>436033</xdr:colOff>
          <xdr:row>4</xdr:row>
          <xdr:rowOff>101600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630767</xdr:colOff>
          <xdr:row>1</xdr:row>
          <xdr:rowOff>105833</xdr:rowOff>
        </xdr:from>
        <xdr:to>
          <xdr:col>10</xdr:col>
          <xdr:colOff>249767</xdr:colOff>
          <xdr:row>3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59267</xdr:colOff>
          <xdr:row>2</xdr:row>
          <xdr:rowOff>21167</xdr:rowOff>
        </xdr:from>
        <xdr:to>
          <xdr:col>5</xdr:col>
          <xdr:colOff>563033</xdr:colOff>
          <xdr:row>4</xdr:row>
          <xdr:rowOff>97367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165100</xdr:rowOff>
        </xdr:from>
        <xdr:to>
          <xdr:col>7</xdr:col>
          <xdr:colOff>4233</xdr:colOff>
          <xdr:row>3</xdr:row>
          <xdr:rowOff>59267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16933</xdr:colOff>
          <xdr:row>1</xdr:row>
          <xdr:rowOff>88900</xdr:rowOff>
        </xdr:from>
        <xdr:to>
          <xdr:col>10</xdr:col>
          <xdr:colOff>512233</xdr:colOff>
          <xdr:row>3</xdr:row>
          <xdr:rowOff>165100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2</xdr:row>
          <xdr:rowOff>84667</xdr:rowOff>
        </xdr:from>
        <xdr:to>
          <xdr:col>3</xdr:col>
          <xdr:colOff>977900</xdr:colOff>
          <xdr:row>4</xdr:row>
          <xdr:rowOff>160867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B1:M26"/>
  <sheetViews>
    <sheetView showGridLines="0" workbookViewId="0">
      <selection activeCell="E13" sqref="E13"/>
    </sheetView>
  </sheetViews>
  <sheetFormatPr defaultRowHeight="14.35" x14ac:dyDescent="0.5"/>
  <sheetData>
    <row r="1" spans="2:13" ht="14.7" thickBot="1" x14ac:dyDescent="0.55000000000000004"/>
    <row r="2" spans="2:13" x14ac:dyDescent="0.5"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5"/>
    </row>
    <row r="3" spans="2:13" ht="61.35" x14ac:dyDescent="2">
      <c r="B3" s="8"/>
      <c r="C3" s="1"/>
      <c r="D3" s="1"/>
      <c r="E3" s="31" t="s">
        <v>88</v>
      </c>
      <c r="F3" s="1"/>
      <c r="G3" s="32"/>
      <c r="H3" s="32"/>
      <c r="I3" s="32"/>
      <c r="J3" s="32"/>
      <c r="K3" s="32"/>
      <c r="L3" s="1"/>
      <c r="M3" s="9"/>
    </row>
    <row r="4" spans="2:13" x14ac:dyDescent="0.5">
      <c r="B4" s="8"/>
      <c r="C4" s="1"/>
      <c r="D4" s="1"/>
      <c r="E4" s="1"/>
      <c r="F4" s="1"/>
      <c r="G4" s="1"/>
      <c r="H4" s="1"/>
      <c r="I4" s="1"/>
      <c r="J4" s="1"/>
      <c r="K4" s="1"/>
      <c r="L4" s="1"/>
      <c r="M4" s="9"/>
    </row>
    <row r="5" spans="2:13" x14ac:dyDescent="0.5">
      <c r="B5" s="8"/>
      <c r="C5" s="1"/>
      <c r="D5" s="1"/>
      <c r="E5" s="1"/>
      <c r="F5" s="1"/>
      <c r="G5" s="1"/>
      <c r="H5" s="1"/>
      <c r="I5" s="1"/>
      <c r="J5" s="1"/>
      <c r="K5" s="1"/>
      <c r="L5" s="1"/>
      <c r="M5" s="9"/>
    </row>
    <row r="6" spans="2:13" x14ac:dyDescent="0.5"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9"/>
    </row>
    <row r="7" spans="2:13" x14ac:dyDescent="0.5">
      <c r="B7" s="8"/>
      <c r="C7" s="1"/>
      <c r="D7" s="1"/>
      <c r="E7" s="1"/>
      <c r="F7" s="1"/>
      <c r="G7" s="1"/>
      <c r="H7" s="1"/>
      <c r="I7" s="1"/>
      <c r="J7" s="1"/>
      <c r="K7" s="1"/>
      <c r="L7" s="1"/>
      <c r="M7" s="9"/>
    </row>
    <row r="8" spans="2:13" x14ac:dyDescent="0.5">
      <c r="B8" s="8"/>
      <c r="C8" s="1"/>
      <c r="D8" s="1"/>
      <c r="E8" s="1"/>
      <c r="F8" s="1"/>
      <c r="G8" s="1"/>
      <c r="H8" s="1"/>
      <c r="I8" s="1"/>
      <c r="J8" s="1"/>
      <c r="K8" s="1"/>
      <c r="L8" s="1"/>
      <c r="M8" s="9"/>
    </row>
    <row r="9" spans="2:13" x14ac:dyDescent="0.5">
      <c r="B9" s="8"/>
      <c r="C9" s="1"/>
      <c r="D9" s="1"/>
      <c r="E9" s="1"/>
      <c r="F9" s="1"/>
      <c r="G9" s="1"/>
      <c r="H9" s="1"/>
      <c r="I9" s="1"/>
      <c r="J9" s="1"/>
      <c r="K9" s="1"/>
      <c r="L9" s="1"/>
      <c r="M9" s="9"/>
    </row>
    <row r="10" spans="2:13" x14ac:dyDescent="0.5">
      <c r="B10" s="8"/>
      <c r="C10" s="1"/>
      <c r="D10" s="1"/>
      <c r="E10" s="1"/>
      <c r="F10" s="1"/>
      <c r="G10" s="1"/>
      <c r="H10" s="1"/>
      <c r="I10" s="1"/>
      <c r="J10" s="1"/>
      <c r="K10" s="1"/>
      <c r="L10" s="1"/>
      <c r="M10" s="9"/>
    </row>
    <row r="11" spans="2:13" x14ac:dyDescent="0.5">
      <c r="B11" s="8"/>
      <c r="C11" s="1"/>
      <c r="D11" s="1"/>
      <c r="E11" s="1"/>
      <c r="F11" s="1"/>
      <c r="G11" s="1"/>
      <c r="H11" s="1"/>
      <c r="I11" s="1"/>
      <c r="J11" s="1"/>
      <c r="K11" s="1"/>
      <c r="L11" s="1"/>
      <c r="M11" s="9"/>
    </row>
    <row r="12" spans="2:13" x14ac:dyDescent="0.5"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9"/>
    </row>
    <row r="13" spans="2:13" x14ac:dyDescent="0.5">
      <c r="B13" s="8"/>
      <c r="C13" s="1"/>
      <c r="D13" s="1"/>
      <c r="E13" s="1"/>
      <c r="F13" s="1"/>
      <c r="G13" s="1"/>
      <c r="H13" s="1"/>
      <c r="I13" s="1"/>
      <c r="J13" s="1"/>
      <c r="K13" s="1"/>
      <c r="L13" s="1"/>
      <c r="M13" s="9"/>
    </row>
    <row r="14" spans="2:13" x14ac:dyDescent="0.5">
      <c r="B14" s="8"/>
      <c r="C14" s="1"/>
      <c r="D14" s="1"/>
      <c r="E14" s="1"/>
      <c r="F14" s="1"/>
      <c r="G14" s="1"/>
      <c r="H14" s="1"/>
      <c r="I14" s="1"/>
      <c r="J14" s="1"/>
      <c r="K14" s="1"/>
      <c r="L14" s="1"/>
      <c r="M14" s="9"/>
    </row>
    <row r="15" spans="2:13" x14ac:dyDescent="0.5"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9"/>
    </row>
    <row r="16" spans="2:13" x14ac:dyDescent="0.5">
      <c r="B16" s="8"/>
      <c r="C16" s="1"/>
      <c r="D16" s="1"/>
      <c r="E16" s="1"/>
      <c r="F16" s="1"/>
      <c r="G16" s="1"/>
      <c r="H16" s="1"/>
      <c r="I16" s="1"/>
      <c r="J16" s="1"/>
      <c r="K16" s="1"/>
      <c r="L16" s="1"/>
      <c r="M16" s="9"/>
    </row>
    <row r="17" spans="2:13" x14ac:dyDescent="0.5">
      <c r="B17" s="8"/>
      <c r="C17" s="1"/>
      <c r="D17" s="1"/>
      <c r="E17" s="1"/>
      <c r="F17" s="1"/>
      <c r="G17" s="1"/>
      <c r="H17" s="1"/>
      <c r="I17" s="1"/>
      <c r="J17" s="1"/>
      <c r="K17" s="1"/>
      <c r="L17" s="1"/>
      <c r="M17" s="9"/>
    </row>
    <row r="18" spans="2:13" x14ac:dyDescent="0.5">
      <c r="B18" s="8"/>
      <c r="C18" s="1"/>
      <c r="D18" s="1"/>
      <c r="E18" s="1"/>
      <c r="F18" s="1"/>
      <c r="G18" s="1"/>
      <c r="H18" s="1"/>
      <c r="I18" s="1"/>
      <c r="J18" s="1"/>
      <c r="K18" s="1"/>
      <c r="L18" s="1"/>
      <c r="M18" s="9"/>
    </row>
    <row r="19" spans="2:13" x14ac:dyDescent="0.5">
      <c r="B19" s="8"/>
      <c r="C19" s="1"/>
      <c r="D19" s="1"/>
      <c r="E19" s="1"/>
      <c r="F19" s="1"/>
      <c r="G19" s="1"/>
      <c r="H19" s="1"/>
      <c r="I19" s="1"/>
      <c r="J19" s="1"/>
      <c r="K19" s="1"/>
      <c r="L19" s="1"/>
      <c r="M19" s="9"/>
    </row>
    <row r="20" spans="2:13" x14ac:dyDescent="0.5">
      <c r="B20" s="8"/>
      <c r="C20" s="1"/>
      <c r="D20" s="1"/>
      <c r="E20" s="1"/>
      <c r="F20" s="1"/>
      <c r="G20" s="1"/>
      <c r="H20" s="1"/>
      <c r="I20" s="1"/>
      <c r="J20" s="1"/>
      <c r="K20" s="1"/>
      <c r="L20" s="1"/>
      <c r="M20" s="9"/>
    </row>
    <row r="21" spans="2:13" x14ac:dyDescent="0.5">
      <c r="B21" s="8"/>
      <c r="C21" s="1"/>
      <c r="D21" s="1"/>
      <c r="E21" s="1"/>
      <c r="F21" s="1"/>
      <c r="G21" s="1"/>
      <c r="H21" s="1"/>
      <c r="I21" s="1"/>
      <c r="J21" s="1"/>
      <c r="K21" s="1"/>
      <c r="L21" s="1"/>
      <c r="M21" s="9"/>
    </row>
    <row r="22" spans="2:13" x14ac:dyDescent="0.5">
      <c r="B22" s="8"/>
      <c r="C22" s="1"/>
      <c r="D22" s="1"/>
      <c r="E22" s="1"/>
      <c r="F22" s="1"/>
      <c r="G22" s="1"/>
      <c r="H22" s="1"/>
      <c r="I22" s="1"/>
      <c r="J22" s="1"/>
      <c r="K22" s="1"/>
      <c r="L22" s="1"/>
      <c r="M22" s="9"/>
    </row>
    <row r="23" spans="2:13" x14ac:dyDescent="0.5">
      <c r="B23" s="8"/>
      <c r="C23" s="1"/>
      <c r="D23" s="1"/>
      <c r="E23" s="1"/>
      <c r="F23" s="1"/>
      <c r="G23" s="1"/>
      <c r="H23" s="1"/>
      <c r="I23" s="1"/>
      <c r="J23" s="1"/>
      <c r="K23" s="1"/>
      <c r="L23" s="1"/>
      <c r="M23" s="9"/>
    </row>
    <row r="24" spans="2:13" x14ac:dyDescent="0.5">
      <c r="B24" s="8"/>
      <c r="C24" s="1"/>
      <c r="D24" s="1"/>
      <c r="E24" s="1"/>
      <c r="F24" s="1"/>
      <c r="G24" s="1"/>
      <c r="H24" s="1"/>
      <c r="I24" s="1"/>
      <c r="J24" s="1"/>
      <c r="K24" s="1"/>
      <c r="L24" s="1"/>
      <c r="M24" s="9"/>
    </row>
    <row r="25" spans="2:13" x14ac:dyDescent="0.5">
      <c r="B25" s="8"/>
      <c r="C25" s="1"/>
      <c r="D25" s="1"/>
      <c r="E25" s="1"/>
      <c r="F25" s="1"/>
      <c r="G25" s="1"/>
      <c r="H25" s="1"/>
      <c r="I25" s="1"/>
      <c r="J25" s="1"/>
      <c r="K25" s="1"/>
      <c r="L25" s="1"/>
      <c r="M25" s="9"/>
    </row>
    <row r="26" spans="2:13" ht="14.7" thickBot="1" x14ac:dyDescent="0.55000000000000004">
      <c r="B26" s="10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2</xdr:col>
                    <xdr:colOff>84667</xdr:colOff>
                    <xdr:row>8</xdr:row>
                    <xdr:rowOff>84667</xdr:rowOff>
                  </from>
                  <to>
                    <xdr:col>4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2</xdr:col>
                    <xdr:colOff>122767</xdr:colOff>
                    <xdr:row>5</xdr:row>
                    <xdr:rowOff>8467</xdr:rowOff>
                  </from>
                  <to>
                    <xdr:col>4</xdr:col>
                    <xdr:colOff>59267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21167</xdr:colOff>
                    <xdr:row>6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6</xdr:col>
                    <xdr:colOff>8467</xdr:colOff>
                    <xdr:row>8</xdr:row>
                    <xdr:rowOff>8467</xdr:rowOff>
                  </from>
                  <to>
                    <xdr:col>7</xdr:col>
                    <xdr:colOff>601133</xdr:colOff>
                    <xdr:row>9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10</xdr:col>
                    <xdr:colOff>8467</xdr:colOff>
                    <xdr:row>5</xdr:row>
                    <xdr:rowOff>0</xdr:rowOff>
                  </from>
                  <to>
                    <xdr:col>12</xdr:col>
                    <xdr:colOff>21167</xdr:colOff>
                    <xdr:row>7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10</xdr:col>
                    <xdr:colOff>8467</xdr:colOff>
                    <xdr:row>8</xdr:row>
                    <xdr:rowOff>8467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Column">
                <anchor moveWithCells="1" sizeWithCells="1">
                  <from>
                    <xdr:col>1</xdr:col>
                    <xdr:colOff>385233</xdr:colOff>
                    <xdr:row>17</xdr:row>
                    <xdr:rowOff>71967</xdr:rowOff>
                  </from>
                  <to>
                    <xdr:col>3</xdr:col>
                    <xdr:colOff>381000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PayEmployees_Click">
                <anchor moveWithCells="1" sizeWithCells="1">
                  <from>
                    <xdr:col>1</xdr:col>
                    <xdr:colOff>626533</xdr:colOff>
                    <xdr:row>11</xdr:row>
                    <xdr:rowOff>177800</xdr:rowOff>
                  </from>
                  <to>
                    <xdr:col>3</xdr:col>
                    <xdr:colOff>639233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AddInvoice_Click">
                <anchor moveWithCells="1" sizeWithCells="1">
                  <from>
                    <xdr:col>6</xdr:col>
                    <xdr:colOff>12700</xdr:colOff>
                    <xdr:row>12</xdr:row>
                    <xdr:rowOff>0</xdr:rowOff>
                  </from>
                  <to>
                    <xdr:col>8</xdr:col>
                    <xdr:colOff>25400</xdr:colOff>
                    <xdr:row>14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PO_Click">
                <anchor moveWithCells="1" sizeWithCells="1">
                  <from>
                    <xdr:col>10</xdr:col>
                    <xdr:colOff>25400</xdr:colOff>
                    <xdr:row>11</xdr:row>
                    <xdr:rowOff>177800</xdr:rowOff>
                  </from>
                  <to>
                    <xdr:col>12</xdr:col>
                    <xdr:colOff>12700</xdr:colOff>
                    <xdr:row>13</xdr:row>
                    <xdr:rowOff>160867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Inventory_Click">
                <anchor moveWithCells="1" sizeWithCells="1">
                  <from>
                    <xdr:col>10</xdr:col>
                    <xdr:colOff>8467</xdr:colOff>
                    <xdr:row>16</xdr:row>
                    <xdr:rowOff>12700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ShowBalanceSheet_Click">
                <anchor moveWithCells="1" sizeWithCells="1">
                  <from>
                    <xdr:col>3</xdr:col>
                    <xdr:colOff>626533</xdr:colOff>
                    <xdr:row>20</xdr:row>
                    <xdr:rowOff>0</xdr:rowOff>
                  </from>
                  <to>
                    <xdr:col>6</xdr:col>
                    <xdr:colOff>12700</xdr:colOff>
                    <xdr:row>22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ShowIncomeStatement_Click">
                <anchor moveWithCells="1" sizeWithCells="1">
                  <from>
                    <xdr:col>6</xdr:col>
                    <xdr:colOff>630767</xdr:colOff>
                    <xdr:row>19</xdr:row>
                    <xdr:rowOff>169333</xdr:rowOff>
                  </from>
                  <to>
                    <xdr:col>9</xdr:col>
                    <xdr:colOff>21167</xdr:colOff>
                    <xdr:row>21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B8" sqref="B8"/>
    </sheetView>
  </sheetViews>
  <sheetFormatPr defaultColWidth="11.87890625" defaultRowHeight="14.35" x14ac:dyDescent="0.5"/>
  <cols>
    <col min="2" max="2" width="15.1171875" bestFit="1" customWidth="1"/>
    <col min="5" max="6" width="13.87890625" bestFit="1" customWidth="1"/>
    <col min="7" max="7" width="10.29296875" customWidth="1"/>
    <col min="8" max="8" width="14.29296875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  <c r="G4" s="2" t="s">
        <v>4</v>
      </c>
      <c r="H4" s="2" t="s">
        <v>5</v>
      </c>
      <c r="I4" s="2" t="s">
        <v>6</v>
      </c>
      <c r="J4" s="1"/>
      <c r="K4" s="1"/>
      <c r="L4" s="1"/>
      <c r="M4" s="1"/>
    </row>
    <row r="5" spans="1:13" x14ac:dyDescent="0.5">
      <c r="A5" s="1"/>
      <c r="B5" t="s">
        <v>92</v>
      </c>
      <c r="E5" s="1"/>
      <c r="F5" s="1"/>
      <c r="G5" s="1"/>
      <c r="H5" s="1"/>
      <c r="I5" s="1"/>
      <c r="J5" s="1"/>
      <c r="K5" s="1"/>
      <c r="L5" s="1"/>
      <c r="M5" s="1"/>
    </row>
    <row r="6" spans="1:13" x14ac:dyDescent="0.5">
      <c r="B6" t="s">
        <v>93</v>
      </c>
    </row>
    <row r="7" spans="1:13" x14ac:dyDescent="0.5">
      <c r="B7" t="s">
        <v>94</v>
      </c>
    </row>
    <row r="8" spans="1:13" x14ac:dyDescent="0.5">
      <c r="B8" t="s">
        <v>95</v>
      </c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3</xdr:row>
                    <xdr:rowOff>21167</xdr:rowOff>
                  </from>
                  <to>
                    <xdr:col>12</xdr:col>
                    <xdr:colOff>304800</xdr:colOff>
                    <xdr:row>5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3"/>
  <sheetViews>
    <sheetView showGridLines="0" workbookViewId="0">
      <selection activeCell="C6" sqref="C6"/>
    </sheetView>
  </sheetViews>
  <sheetFormatPr defaultRowHeight="14.35" x14ac:dyDescent="0.5"/>
  <cols>
    <col min="2" max="2" width="15.1171875" bestFit="1" customWidth="1"/>
    <col min="3" max="3" width="10.1171875" bestFit="1" customWidth="1"/>
    <col min="4" max="4" width="10.5859375" bestFit="1" customWidth="1"/>
    <col min="5" max="6" width="13.87890625" bestFit="1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2" t="s">
        <v>11</v>
      </c>
      <c r="C2" s="2" t="s">
        <v>12</v>
      </c>
      <c r="D2" s="2" t="s">
        <v>13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1"/>
      <c r="K2" s="1"/>
      <c r="L2" s="1"/>
      <c r="M2" s="1"/>
    </row>
    <row r="3" spans="1:13" x14ac:dyDescent="0.5">
      <c r="A3" s="1"/>
      <c r="E3" s="1"/>
      <c r="F3" s="1"/>
      <c r="G3" s="1"/>
      <c r="H3" s="1"/>
      <c r="I3" s="1"/>
      <c r="J3" s="1"/>
      <c r="K3" s="1"/>
      <c r="L3" s="1"/>
      <c r="M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1</xdr:row>
                    <xdr:rowOff>21167</xdr:rowOff>
                  </from>
                  <to>
                    <xdr:col>12</xdr:col>
                    <xdr:colOff>304800</xdr:colOff>
                    <xdr:row>3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4:K10"/>
  <sheetViews>
    <sheetView showGridLines="0" workbookViewId="0">
      <selection activeCell="D9" sqref="D9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13.5859375" style="1" customWidth="1"/>
    <col min="4" max="4" width="14.46875" style="1" customWidth="1"/>
    <col min="5" max="5" width="15.8203125" style="1" customWidth="1"/>
    <col min="6" max="6" width="12.41015625" style="1" customWidth="1"/>
    <col min="7" max="7" width="6.64453125" style="1" customWidth="1"/>
    <col min="8" max="8" width="9.1171875" style="1" customWidth="1"/>
    <col min="9" max="9" width="15.29296875" style="1" bestFit="1" customWidth="1"/>
    <col min="10" max="10" width="16.703125" style="1" bestFit="1" customWidth="1"/>
    <col min="11" max="16384" width="9.1171875" style="1"/>
  </cols>
  <sheetData>
    <row r="4" spans="2:11" x14ac:dyDescent="0.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</row>
    <row r="5" spans="2:11" x14ac:dyDescent="0.5">
      <c r="B5" s="1">
        <v>1</v>
      </c>
      <c r="C5" s="1" t="s">
        <v>14</v>
      </c>
      <c r="K5" s="1">
        <v>345</v>
      </c>
    </row>
    <row r="6" spans="2:11" x14ac:dyDescent="0.5">
      <c r="B6" s="1">
        <v>4</v>
      </c>
      <c r="C6" s="1" t="s">
        <v>15</v>
      </c>
      <c r="K6" s="1">
        <v>456</v>
      </c>
    </row>
    <row r="7" spans="2:11" x14ac:dyDescent="0.5">
      <c r="B7" s="1">
        <v>5</v>
      </c>
      <c r="C7" s="3" t="s">
        <v>16</v>
      </c>
      <c r="K7" s="1">
        <v>789</v>
      </c>
    </row>
    <row r="8" spans="2:11" x14ac:dyDescent="0.5">
      <c r="B8" s="3" t="s">
        <v>25</v>
      </c>
      <c r="C8" s="1" t="s">
        <v>26</v>
      </c>
      <c r="K8" s="1">
        <v>1234</v>
      </c>
    </row>
    <row r="9" spans="2:11" x14ac:dyDescent="0.5">
      <c r="B9" s="3" t="s">
        <v>89</v>
      </c>
      <c r="C9" s="1" t="s">
        <v>90</v>
      </c>
      <c r="K9" s="1">
        <v>123</v>
      </c>
    </row>
    <row r="10" spans="2:11" x14ac:dyDescent="0.5">
      <c r="B10" s="1" t="s">
        <v>89</v>
      </c>
      <c r="C10" s="1" t="s">
        <v>90</v>
      </c>
      <c r="K10" s="1">
        <v>123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12</xdr:col>
                    <xdr:colOff>389467</xdr:colOff>
                    <xdr:row>2</xdr:row>
                    <xdr:rowOff>173567</xdr:rowOff>
                  </from>
                  <to>
                    <xdr:col>14</xdr:col>
                    <xdr:colOff>427567</xdr:colOff>
                    <xdr:row>4</xdr:row>
                    <xdr:rowOff>173567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3:I11"/>
  <sheetViews>
    <sheetView showGridLines="0" workbookViewId="0">
      <selection activeCell="G34" sqref="G34"/>
    </sheetView>
  </sheetViews>
  <sheetFormatPr defaultRowHeight="14.35" x14ac:dyDescent="0.5"/>
  <cols>
    <col min="3" max="3" width="13.1171875" bestFit="1" customWidth="1"/>
    <col min="4" max="4" width="11.703125" bestFit="1" customWidth="1"/>
    <col min="5" max="5" width="14.52734375" bestFit="1" customWidth="1"/>
    <col min="7" max="7" width="18.3515625" bestFit="1" customWidth="1"/>
  </cols>
  <sheetData>
    <row r="3" spans="2:9" x14ac:dyDescent="0.5">
      <c r="B3" s="1"/>
      <c r="C3" s="1"/>
      <c r="D3" s="1"/>
      <c r="E3" s="1"/>
      <c r="F3" s="1"/>
      <c r="G3" s="1"/>
      <c r="H3" s="1"/>
      <c r="I3" s="1"/>
    </row>
    <row r="4" spans="2:9" ht="14.7" thickBot="1" x14ac:dyDescent="0.55000000000000004">
      <c r="B4" s="1"/>
      <c r="C4" s="1"/>
      <c r="D4" s="1"/>
      <c r="E4" s="1"/>
      <c r="F4" s="1"/>
      <c r="G4" s="1"/>
      <c r="H4" s="1"/>
      <c r="I4" s="1"/>
    </row>
    <row r="5" spans="2:9" x14ac:dyDescent="0.5">
      <c r="B5" s="1"/>
      <c r="C5" s="1"/>
      <c r="D5" s="1"/>
      <c r="E5" s="1"/>
      <c r="F5" s="1"/>
      <c r="G5" s="4" t="s">
        <v>21</v>
      </c>
      <c r="H5" s="5">
        <f>SUM(D7:D100000)</f>
        <v>0</v>
      </c>
      <c r="I5" s="1"/>
    </row>
    <row r="6" spans="2:9" ht="14.7" thickBot="1" x14ac:dyDescent="0.55000000000000004">
      <c r="B6" s="2" t="s">
        <v>17</v>
      </c>
      <c r="C6" s="2" t="s">
        <v>18</v>
      </c>
      <c r="D6" s="2" t="s">
        <v>19</v>
      </c>
      <c r="E6" s="2" t="s">
        <v>20</v>
      </c>
      <c r="F6" s="1"/>
      <c r="G6" s="6" t="s">
        <v>22</v>
      </c>
      <c r="H6" s="7">
        <f>SUM(E7:E100000)</f>
        <v>2591</v>
      </c>
      <c r="I6" s="1"/>
    </row>
    <row r="7" spans="2:9" x14ac:dyDescent="0.5">
      <c r="B7" t="s">
        <v>23</v>
      </c>
      <c r="C7" t="s">
        <v>27</v>
      </c>
      <c r="E7">
        <v>1234</v>
      </c>
    </row>
    <row r="8" spans="2:9" x14ac:dyDescent="0.5">
      <c r="B8" t="s">
        <v>91</v>
      </c>
      <c r="C8" t="s">
        <v>24</v>
      </c>
    </row>
    <row r="9" spans="2:9" x14ac:dyDescent="0.5">
      <c r="B9" t="s">
        <v>99</v>
      </c>
      <c r="C9" t="s">
        <v>24</v>
      </c>
    </row>
    <row r="10" spans="2:9" x14ac:dyDescent="0.5">
      <c r="B10" t="s">
        <v>99</v>
      </c>
      <c r="C10" t="s">
        <v>27</v>
      </c>
      <c r="E10">
        <v>1234</v>
      </c>
    </row>
    <row r="11" spans="2:9" x14ac:dyDescent="0.5">
      <c r="B11" t="s">
        <v>99</v>
      </c>
      <c r="C11" t="s">
        <v>100</v>
      </c>
      <c r="E11">
        <v>123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59267</xdr:colOff>
                    <xdr:row>1</xdr:row>
                    <xdr:rowOff>21167</xdr:rowOff>
                  </from>
                  <to>
                    <xdr:col>5</xdr:col>
                    <xdr:colOff>563033</xdr:colOff>
                    <xdr:row>3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C4:D22"/>
  <sheetViews>
    <sheetView showGridLines="0" tabSelected="1" workbookViewId="0">
      <selection activeCell="D7" sqref="D7"/>
    </sheetView>
  </sheetViews>
  <sheetFormatPr defaultRowHeight="14.35" x14ac:dyDescent="0.5"/>
  <cols>
    <col min="3" max="3" width="20.41015625" customWidth="1"/>
    <col min="4" max="4" width="14.8203125" customWidth="1"/>
  </cols>
  <sheetData>
    <row r="4" spans="3:4" ht="14.7" thickBot="1" x14ac:dyDescent="0.55000000000000004"/>
    <row r="5" spans="3:4" ht="14.7" thickBot="1" x14ac:dyDescent="0.55000000000000004">
      <c r="C5" s="34" t="s">
        <v>41</v>
      </c>
      <c r="D5" s="35"/>
    </row>
    <row r="6" spans="3:4" x14ac:dyDescent="0.5">
      <c r="C6" s="8" t="s">
        <v>28</v>
      </c>
      <c r="D6" s="9">
        <v>52412.5</v>
      </c>
    </row>
    <row r="7" spans="3:4" x14ac:dyDescent="0.5">
      <c r="C7" s="8" t="s">
        <v>29</v>
      </c>
      <c r="D7" s="9">
        <v>16143.1</v>
      </c>
    </row>
    <row r="8" spans="3:4" x14ac:dyDescent="0.5">
      <c r="C8" s="11" t="s">
        <v>30</v>
      </c>
      <c r="D8" s="14">
        <f>D6 - D7</f>
        <v>36269.4</v>
      </c>
    </row>
    <row r="9" spans="3:4" x14ac:dyDescent="0.5">
      <c r="C9" s="8"/>
      <c r="D9" s="9"/>
    </row>
    <row r="10" spans="3:4" x14ac:dyDescent="0.5">
      <c r="C10" s="8" t="s">
        <v>31</v>
      </c>
      <c r="D10" s="9"/>
    </row>
    <row r="11" spans="3:4" x14ac:dyDescent="0.5">
      <c r="C11" s="8" t="s">
        <v>32</v>
      </c>
      <c r="D11" s="9">
        <v>0</v>
      </c>
    </row>
    <row r="12" spans="3:4" x14ac:dyDescent="0.5">
      <c r="C12" s="8" t="s">
        <v>33</v>
      </c>
      <c r="D12" s="9">
        <v>2591</v>
      </c>
    </row>
    <row r="13" spans="3:4" x14ac:dyDescent="0.5">
      <c r="C13" s="8" t="s">
        <v>34</v>
      </c>
      <c r="D13" s="9">
        <v>1250</v>
      </c>
    </row>
    <row r="14" spans="3:4" x14ac:dyDescent="0.5">
      <c r="C14" s="11" t="s">
        <v>35</v>
      </c>
      <c r="D14" s="9">
        <v>13750</v>
      </c>
    </row>
    <row r="15" spans="3:4" x14ac:dyDescent="0.5">
      <c r="C15" s="8"/>
      <c r="D15" s="9"/>
    </row>
    <row r="16" spans="3:4" x14ac:dyDescent="0.5">
      <c r="C16" s="8"/>
      <c r="D16" s="9"/>
    </row>
    <row r="17" spans="3:4" x14ac:dyDescent="0.5">
      <c r="C17" s="11" t="s">
        <v>36</v>
      </c>
      <c r="D17" s="9">
        <v>24375</v>
      </c>
    </row>
    <row r="18" spans="3:4" x14ac:dyDescent="0.5">
      <c r="C18" s="8" t="s">
        <v>37</v>
      </c>
      <c r="D18" s="9"/>
    </row>
    <row r="19" spans="3:4" x14ac:dyDescent="0.5">
      <c r="C19" s="8" t="s">
        <v>38</v>
      </c>
      <c r="D19" s="9">
        <f>D8-D17</f>
        <v>11894.400000000001</v>
      </c>
    </row>
    <row r="20" spans="3:4" x14ac:dyDescent="0.5">
      <c r="C20" s="8" t="s">
        <v>39</v>
      </c>
      <c r="D20" s="9">
        <f xml:space="preserve"> 0.2 *D19</f>
        <v>2378.8800000000006</v>
      </c>
    </row>
    <row r="21" spans="3:4" ht="14.7" thickBot="1" x14ac:dyDescent="0.55000000000000004">
      <c r="C21" s="6" t="s">
        <v>40</v>
      </c>
      <c r="D21" s="13">
        <f xml:space="preserve"> D19 - D20</f>
        <v>9515.52</v>
      </c>
    </row>
    <row r="22" spans="3:4" x14ac:dyDescent="0.5">
      <c r="C22" s="12"/>
      <c r="D22" s="1"/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howMainMenu_Click">
                <anchor moveWithCells="1" sizeWithCells="1">
                  <from>
                    <xdr:col>5</xdr:col>
                    <xdr:colOff>173567</xdr:colOff>
                    <xdr:row>2</xdr:row>
                    <xdr:rowOff>29633</xdr:rowOff>
                  </from>
                  <to>
                    <xdr:col>7</xdr:col>
                    <xdr:colOff>436033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D3:G22"/>
  <sheetViews>
    <sheetView showGridLines="0" workbookViewId="0">
      <selection activeCell="I9" sqref="I9"/>
    </sheetView>
  </sheetViews>
  <sheetFormatPr defaultRowHeight="14.35" x14ac:dyDescent="0.5"/>
  <cols>
    <col min="4" max="4" width="16.41015625" bestFit="1" customWidth="1"/>
    <col min="5" max="5" width="19.3515625" customWidth="1"/>
    <col min="6" max="6" width="28.52734375" customWidth="1"/>
    <col min="7" max="7" width="26.234375" customWidth="1"/>
  </cols>
  <sheetData>
    <row r="3" spans="4:7" ht="14.7" thickBot="1" x14ac:dyDescent="0.55000000000000004"/>
    <row r="4" spans="4:7" x14ac:dyDescent="0.5">
      <c r="D4" s="36" t="s">
        <v>58</v>
      </c>
      <c r="E4" s="37"/>
      <c r="F4" s="37" t="s">
        <v>59</v>
      </c>
      <c r="G4" s="38"/>
    </row>
    <row r="5" spans="4:7" x14ac:dyDescent="0.5">
      <c r="D5" s="15"/>
      <c r="E5" s="18"/>
      <c r="F5" s="18"/>
      <c r="G5" s="16"/>
    </row>
    <row r="6" spans="4:7" x14ac:dyDescent="0.5">
      <c r="D6" s="8" t="s">
        <v>42</v>
      </c>
      <c r="E6" s="1">
        <v>195397.5</v>
      </c>
      <c r="F6" s="1" t="s">
        <v>51</v>
      </c>
      <c r="G6" s="9"/>
    </row>
    <row r="7" spans="4:7" x14ac:dyDescent="0.5">
      <c r="D7" s="8" t="s">
        <v>43</v>
      </c>
      <c r="E7" s="1"/>
      <c r="F7" s="1" t="s">
        <v>52</v>
      </c>
      <c r="G7" s="9"/>
    </row>
    <row r="8" spans="4:7" x14ac:dyDescent="0.5">
      <c r="D8" s="44" t="s">
        <v>44</v>
      </c>
      <c r="E8" s="45">
        <v>23247</v>
      </c>
      <c r="F8" s="45" t="s">
        <v>53</v>
      </c>
      <c r="G8" s="46"/>
    </row>
    <row r="9" spans="4:7" x14ac:dyDescent="0.5">
      <c r="D9" s="8" t="s">
        <v>45</v>
      </c>
      <c r="E9" s="1">
        <f>SUM(E6:E8)</f>
        <v>218644.5</v>
      </c>
      <c r="F9" s="12" t="s">
        <v>54</v>
      </c>
      <c r="G9" s="9"/>
    </row>
    <row r="10" spans="4:7" x14ac:dyDescent="0.5">
      <c r="D10" s="8"/>
      <c r="E10" s="1"/>
      <c r="F10" s="1"/>
      <c r="G10" s="9"/>
    </row>
    <row r="11" spans="4:7" x14ac:dyDescent="0.5">
      <c r="D11" s="8" t="s">
        <v>46</v>
      </c>
      <c r="E11" s="1"/>
      <c r="F11" s="1" t="s">
        <v>55</v>
      </c>
      <c r="G11" s="9"/>
    </row>
    <row r="12" spans="4:7" x14ac:dyDescent="0.5">
      <c r="D12" s="8" t="s">
        <v>47</v>
      </c>
      <c r="E12" s="1"/>
      <c r="F12" s="12" t="s">
        <v>56</v>
      </c>
      <c r="G12" s="9">
        <f>G11</f>
        <v>0</v>
      </c>
    </row>
    <row r="13" spans="4:7" x14ac:dyDescent="0.5">
      <c r="D13" s="8" t="s">
        <v>48</v>
      </c>
      <c r="E13" s="1"/>
      <c r="F13" s="1"/>
      <c r="G13" s="9"/>
    </row>
    <row r="14" spans="4:7" x14ac:dyDescent="0.5">
      <c r="D14" s="11" t="s">
        <v>50</v>
      </c>
      <c r="E14" s="1">
        <f>SUM(E11:E13)</f>
        <v>0</v>
      </c>
      <c r="F14" s="12" t="s">
        <v>57</v>
      </c>
      <c r="G14" s="9">
        <f>G12+G9</f>
        <v>0</v>
      </c>
    </row>
    <row r="15" spans="4:7" x14ac:dyDescent="0.5">
      <c r="D15" s="8"/>
      <c r="E15" s="1"/>
      <c r="F15" s="1"/>
      <c r="G15" s="9"/>
    </row>
    <row r="16" spans="4:7" x14ac:dyDescent="0.5">
      <c r="D16" s="8"/>
      <c r="E16" s="1"/>
      <c r="F16" s="45" t="s">
        <v>96</v>
      </c>
      <c r="G16" s="9"/>
    </row>
    <row r="17" spans="4:7" x14ac:dyDescent="0.5">
      <c r="D17" s="11" t="s">
        <v>49</v>
      </c>
      <c r="E17" s="1">
        <f xml:space="preserve"> E14+E9</f>
        <v>218644.5</v>
      </c>
      <c r="F17" s="12" t="s">
        <v>30</v>
      </c>
      <c r="G17" s="9"/>
    </row>
    <row r="18" spans="4:7" x14ac:dyDescent="0.5">
      <c r="D18" s="8"/>
      <c r="E18" s="1"/>
      <c r="F18" s="12" t="s">
        <v>97</v>
      </c>
      <c r="G18" s="9">
        <f>G16+G17</f>
        <v>0</v>
      </c>
    </row>
    <row r="19" spans="4:7" x14ac:dyDescent="0.5">
      <c r="D19" s="8"/>
      <c r="E19" s="1"/>
      <c r="F19" s="1"/>
      <c r="G19" s="9"/>
    </row>
    <row r="20" spans="4:7" x14ac:dyDescent="0.5">
      <c r="D20" s="8"/>
      <c r="E20" s="1"/>
      <c r="F20" s="12" t="s">
        <v>98</v>
      </c>
      <c r="G20" s="9">
        <f>G18+G14</f>
        <v>0</v>
      </c>
    </row>
    <row r="21" spans="4:7" ht="14.7" thickBot="1" x14ac:dyDescent="0.55000000000000004">
      <c r="D21" s="10"/>
      <c r="E21" s="17"/>
      <c r="F21" s="47"/>
      <c r="G21" s="7"/>
    </row>
    <row r="22" spans="4:7" x14ac:dyDescent="0.5">
      <c r="D22" s="1"/>
      <c r="E22" s="1"/>
      <c r="F22" s="12"/>
      <c r="G22" s="1"/>
    </row>
  </sheetData>
  <mergeCells count="2">
    <mergeCell ref="D4:E4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MainMenu_Click">
                <anchor moveWithCells="1" sizeWithCells="1">
                  <from>
                    <xdr:col>7</xdr:col>
                    <xdr:colOff>630767</xdr:colOff>
                    <xdr:row>1</xdr:row>
                    <xdr:rowOff>105833</xdr:rowOff>
                  </from>
                  <to>
                    <xdr:col>10</xdr:col>
                    <xdr:colOff>249767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2FD64-AD49-448E-88AA-08B408EEAD62}">
  <sheetPr codeName="Sheet8"/>
  <dimension ref="B4:K15"/>
  <sheetViews>
    <sheetView showGridLines="0" workbookViewId="0">
      <selection activeCell="J10" sqref="J10"/>
    </sheetView>
  </sheetViews>
  <sheetFormatPr defaultRowHeight="14.35" x14ac:dyDescent="0.5"/>
  <cols>
    <col min="2" max="2" width="14.234375" bestFit="1" customWidth="1"/>
    <col min="3" max="3" width="13.1171875" bestFit="1" customWidth="1"/>
    <col min="4" max="4" width="11.703125" bestFit="1" customWidth="1"/>
    <col min="5" max="5" width="14.52734375" bestFit="1" customWidth="1"/>
    <col min="7" max="8" width="18.87890625" bestFit="1" customWidth="1"/>
    <col min="10" max="10" width="20.29296875" customWidth="1"/>
  </cols>
  <sheetData>
    <row r="4" spans="2:11" x14ac:dyDescent="0.5">
      <c r="B4" s="1"/>
      <c r="C4" s="1"/>
      <c r="D4" s="1"/>
      <c r="E4" s="1"/>
      <c r="F4" s="1"/>
      <c r="G4" s="1"/>
      <c r="H4" s="1"/>
      <c r="I4" s="1"/>
    </row>
    <row r="5" spans="2:11" x14ac:dyDescent="0.5">
      <c r="B5" s="1"/>
      <c r="C5" s="1"/>
      <c r="D5" s="1"/>
      <c r="E5" s="1"/>
      <c r="F5" s="1"/>
      <c r="H5" s="1"/>
      <c r="I5" s="1"/>
      <c r="J5" s="1"/>
    </row>
    <row r="6" spans="2:11" x14ac:dyDescent="0.5">
      <c r="B6" s="1"/>
      <c r="C6" s="1"/>
      <c r="D6" s="1"/>
      <c r="E6" s="1"/>
      <c r="F6" s="1"/>
      <c r="J6" s="39" t="s">
        <v>64</v>
      </c>
      <c r="K6" s="39"/>
    </row>
    <row r="7" spans="2:11" x14ac:dyDescent="0.5">
      <c r="B7" s="2" t="s">
        <v>60</v>
      </c>
      <c r="C7" s="2" t="s">
        <v>13</v>
      </c>
      <c r="D7" s="2" t="s">
        <v>61</v>
      </c>
      <c r="E7" s="2" t="s">
        <v>62</v>
      </c>
      <c r="F7" s="23" t="s">
        <v>63</v>
      </c>
      <c r="G7" s="21" t="s">
        <v>67</v>
      </c>
      <c r="J7" s="39"/>
      <c r="K7" s="39"/>
    </row>
    <row r="8" spans="2:11" ht="14.7" thickBot="1" x14ac:dyDescent="0.55000000000000004">
      <c r="B8" s="26" t="s">
        <v>69</v>
      </c>
      <c r="C8" s="26">
        <v>0.01</v>
      </c>
      <c r="D8">
        <v>16</v>
      </c>
      <c r="E8">
        <f xml:space="preserve"> C8 * D8</f>
        <v>0.16</v>
      </c>
      <c r="G8" s="33">
        <v>8</v>
      </c>
      <c r="J8" s="40" t="s">
        <v>65</v>
      </c>
      <c r="K8" s="40"/>
    </row>
    <row r="9" spans="2:11" x14ac:dyDescent="0.5">
      <c r="B9" s="26" t="s">
        <v>70</v>
      </c>
      <c r="C9" s="26">
        <v>0.05</v>
      </c>
      <c r="D9">
        <v>19</v>
      </c>
      <c r="E9">
        <f t="shared" ref="E9:E33" si="0" xml:space="preserve"> C9 * D9</f>
        <v>0.95000000000000007</v>
      </c>
      <c r="G9" s="33">
        <v>1</v>
      </c>
      <c r="J9" s="41">
        <f>_xlfn.FLOOR.MATH(MIN(D8/G8, D9/G9, D10/G10, D11/G11, D12/G12, D13/G13, D14/G14, D15/G15))</f>
        <v>2</v>
      </c>
      <c r="K9" s="41"/>
    </row>
    <row r="10" spans="2:11" x14ac:dyDescent="0.5">
      <c r="B10" s="26" t="s">
        <v>71</v>
      </c>
      <c r="C10" s="26">
        <v>0.05</v>
      </c>
      <c r="D10">
        <v>29</v>
      </c>
      <c r="E10">
        <f t="shared" si="0"/>
        <v>1.4500000000000002</v>
      </c>
      <c r="G10" s="33">
        <v>1</v>
      </c>
    </row>
    <row r="11" spans="2:11" x14ac:dyDescent="0.5">
      <c r="B11" s="26" t="s">
        <v>72</v>
      </c>
      <c r="C11" s="26">
        <v>0.1</v>
      </c>
      <c r="D11">
        <v>39</v>
      </c>
      <c r="E11">
        <f t="shared" si="0"/>
        <v>3.9000000000000004</v>
      </c>
      <c r="G11" s="33">
        <v>1</v>
      </c>
    </row>
    <row r="12" spans="2:11" x14ac:dyDescent="0.5">
      <c r="B12" s="26" t="s">
        <v>73</v>
      </c>
      <c r="C12" s="26">
        <v>0.01</v>
      </c>
      <c r="D12">
        <v>46</v>
      </c>
      <c r="E12">
        <f t="shared" si="0"/>
        <v>0.46</v>
      </c>
      <c r="G12" s="33">
        <v>4</v>
      </c>
    </row>
    <row r="13" spans="2:11" x14ac:dyDescent="0.5">
      <c r="B13" s="26" t="s">
        <v>74</v>
      </c>
      <c r="C13" s="26">
        <v>0.1</v>
      </c>
      <c r="D13">
        <v>59</v>
      </c>
      <c r="E13">
        <f t="shared" si="0"/>
        <v>5.9</v>
      </c>
      <c r="G13" s="33">
        <v>1</v>
      </c>
    </row>
    <row r="14" spans="2:11" x14ac:dyDescent="0.5">
      <c r="B14" s="26" t="s">
        <v>75</v>
      </c>
      <c r="C14" s="26">
        <v>0.1</v>
      </c>
      <c r="D14">
        <v>69</v>
      </c>
      <c r="E14">
        <f t="shared" si="0"/>
        <v>6.9</v>
      </c>
      <c r="G14" s="33">
        <v>1</v>
      </c>
    </row>
    <row r="15" spans="2:11" x14ac:dyDescent="0.5">
      <c r="B15" s="26" t="s">
        <v>76</v>
      </c>
      <c r="C15" s="26">
        <v>0.05</v>
      </c>
      <c r="D15">
        <v>79</v>
      </c>
      <c r="E15">
        <f t="shared" si="0"/>
        <v>3.95</v>
      </c>
      <c r="G15" s="33">
        <v>1</v>
      </c>
    </row>
  </sheetData>
  <mergeCells count="3">
    <mergeCell ref="J6:K7"/>
    <mergeCell ref="J8:K8"/>
    <mergeCell ref="J9:K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59267</xdr:colOff>
                    <xdr:row>2</xdr:row>
                    <xdr:rowOff>21167</xdr:rowOff>
                  </from>
                  <to>
                    <xdr:col>5</xdr:col>
                    <xdr:colOff>563033</xdr:colOff>
                    <xdr:row>4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25E6-8A59-4510-9AB8-347655730FB4}">
  <sheetPr codeName="Sheet10"/>
  <dimension ref="A2:K8"/>
  <sheetViews>
    <sheetView showGridLines="0" topLeftCell="A2" workbookViewId="0">
      <selection activeCell="J6" sqref="J6:K7"/>
    </sheetView>
  </sheetViews>
  <sheetFormatPr defaultRowHeight="14.35" x14ac:dyDescent="0.5"/>
  <cols>
    <col min="1" max="1" width="9.52734375" customWidth="1"/>
    <col min="2" max="2" width="13.234375" bestFit="1" customWidth="1"/>
    <col min="4" max="4" width="15.9375" bestFit="1" customWidth="1"/>
    <col min="10" max="10" width="15.703125" customWidth="1"/>
    <col min="11" max="11" width="11.3515625" customWidth="1"/>
  </cols>
  <sheetData>
    <row r="2" spans="1:11" x14ac:dyDescent="0.5">
      <c r="A2" s="42" t="s">
        <v>81</v>
      </c>
      <c r="B2" s="43"/>
    </row>
    <row r="3" spans="1:11" x14ac:dyDescent="0.5">
      <c r="A3" s="43"/>
      <c r="B3" s="43"/>
      <c r="C3" s="1"/>
      <c r="D3" s="1"/>
      <c r="E3" s="1"/>
    </row>
    <row r="4" spans="1:11" x14ac:dyDescent="0.5">
      <c r="B4" s="25"/>
      <c r="C4" s="1"/>
      <c r="D4" s="1"/>
      <c r="E4" s="1"/>
    </row>
    <row r="5" spans="1:11" ht="14.7" thickBot="1" x14ac:dyDescent="0.55000000000000004">
      <c r="B5" s="1"/>
      <c r="C5" s="1"/>
      <c r="D5" s="1"/>
      <c r="E5" s="1"/>
    </row>
    <row r="6" spans="1:11" x14ac:dyDescent="0.5">
      <c r="B6" s="21" t="s">
        <v>78</v>
      </c>
      <c r="C6" s="21" t="s">
        <v>87</v>
      </c>
      <c r="D6" s="21" t="s">
        <v>79</v>
      </c>
      <c r="E6" s="21" t="s">
        <v>61</v>
      </c>
      <c r="F6" s="24" t="s">
        <v>13</v>
      </c>
      <c r="G6" s="24" t="s">
        <v>80</v>
      </c>
      <c r="J6" s="20" t="s">
        <v>82</v>
      </c>
      <c r="K6" s="27">
        <f>SUM(G7:G1000000)</f>
        <v>300000</v>
      </c>
    </row>
    <row r="7" spans="1:11" ht="14.7" thickBot="1" x14ac:dyDescent="0.55000000000000004">
      <c r="G7">
        <v>100000</v>
      </c>
      <c r="J7" s="19" t="s">
        <v>83</v>
      </c>
      <c r="K7" s="28">
        <v>16913.05</v>
      </c>
    </row>
    <row r="8" spans="1:11" x14ac:dyDescent="0.5">
      <c r="G8">
        <v>200000</v>
      </c>
    </row>
  </sheetData>
  <mergeCells count="1">
    <mergeCell ref="A2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howMainMenu_Click">
                <anchor moveWithCells="1" sizeWithCells="1">
                  <from>
                    <xdr:col>5</xdr:col>
                    <xdr:colOff>152400</xdr:colOff>
                    <xdr:row>0</xdr:row>
                    <xdr:rowOff>165100</xdr:rowOff>
                  </from>
                  <to>
                    <xdr:col>7</xdr:col>
                    <xdr:colOff>4233</xdr:colOff>
                    <xdr:row>3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F338-1D09-44C1-B70C-87DE1E9F9663}">
  <sheetPr codeName="Sheet11"/>
  <dimension ref="B3:L8"/>
  <sheetViews>
    <sheetView showGridLines="0" workbookViewId="0">
      <selection activeCell="L8" sqref="L8"/>
    </sheetView>
  </sheetViews>
  <sheetFormatPr defaultRowHeight="14.35" x14ac:dyDescent="0.5"/>
  <cols>
    <col min="2" max="2" width="13.234375" bestFit="1" customWidth="1"/>
    <col min="3" max="3" width="8.29296875" bestFit="1" customWidth="1"/>
    <col min="4" max="4" width="14.1171875" customWidth="1"/>
    <col min="7" max="8" width="8.9375" style="48"/>
  </cols>
  <sheetData>
    <row r="3" spans="2:12" x14ac:dyDescent="0.5">
      <c r="B3" s="1"/>
      <c r="C3" s="1"/>
      <c r="D3" s="1"/>
      <c r="E3" s="1"/>
    </row>
    <row r="4" spans="2:12" x14ac:dyDescent="0.5">
      <c r="B4" s="21" t="s">
        <v>84</v>
      </c>
      <c r="C4" s="21" t="s">
        <v>87</v>
      </c>
      <c r="D4" s="21" t="s">
        <v>85</v>
      </c>
      <c r="E4" s="21" t="s">
        <v>12</v>
      </c>
      <c r="F4" s="24" t="s">
        <v>61</v>
      </c>
      <c r="G4" s="49" t="s">
        <v>86</v>
      </c>
      <c r="H4" s="49" t="s">
        <v>80</v>
      </c>
    </row>
    <row r="5" spans="2:12" x14ac:dyDescent="0.5">
      <c r="C5" t="s">
        <v>91</v>
      </c>
      <c r="E5" t="s">
        <v>73</v>
      </c>
      <c r="F5">
        <v>9</v>
      </c>
      <c r="G5" s="48">
        <v>0.01</v>
      </c>
      <c r="H5" s="48">
        <v>0.09</v>
      </c>
    </row>
    <row r="6" spans="2:12" ht="14.7" thickBot="1" x14ac:dyDescent="0.55000000000000004">
      <c r="C6" t="s">
        <v>91</v>
      </c>
      <c r="E6" t="s">
        <v>72</v>
      </c>
      <c r="F6">
        <v>5</v>
      </c>
      <c r="G6" s="48">
        <v>0.1</v>
      </c>
      <c r="H6" s="48">
        <v>0.5</v>
      </c>
    </row>
    <row r="7" spans="2:12" x14ac:dyDescent="0.5">
      <c r="K7" s="20" t="s">
        <v>82</v>
      </c>
      <c r="L7" s="27">
        <f>SUM(H8:H1000001)</f>
        <v>0</v>
      </c>
    </row>
    <row r="8" spans="2:12" ht="14.7" thickBot="1" x14ac:dyDescent="0.55000000000000004">
      <c r="K8" s="19" t="s">
        <v>83</v>
      </c>
      <c r="L8" s="28">
        <f>SUM(H5:H100000)</f>
        <v>0.59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howMainMenu_Click">
                <anchor moveWithCells="1" sizeWithCells="1">
                  <from>
                    <xdr:col>9</xdr:col>
                    <xdr:colOff>16933</xdr:colOff>
                    <xdr:row>1</xdr:row>
                    <xdr:rowOff>88900</xdr:rowOff>
                  </from>
                  <to>
                    <xdr:col>10</xdr:col>
                    <xdr:colOff>512233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9D1FE-505E-4A08-9ED4-A612B6E93707}">
  <sheetPr codeName="Sheet9"/>
  <dimension ref="B5:E16"/>
  <sheetViews>
    <sheetView showGridLines="0" workbookViewId="0">
      <selection activeCell="D8" sqref="D8:D16"/>
    </sheetView>
  </sheetViews>
  <sheetFormatPr defaultRowHeight="14.35" x14ac:dyDescent="0.5"/>
  <cols>
    <col min="3" max="3" width="16.05859375" customWidth="1"/>
    <col min="4" max="4" width="15.9375" bestFit="1" customWidth="1"/>
  </cols>
  <sheetData>
    <row r="5" spans="2:5" x14ac:dyDescent="0.5">
      <c r="B5" s="1"/>
      <c r="C5" s="1"/>
      <c r="D5" s="1"/>
      <c r="E5" s="1"/>
    </row>
    <row r="6" spans="2:5" x14ac:dyDescent="0.5">
      <c r="B6" s="1"/>
      <c r="C6" s="1"/>
      <c r="D6" s="1"/>
      <c r="E6" s="1"/>
    </row>
    <row r="7" spans="2:5" x14ac:dyDescent="0.5">
      <c r="B7" s="1"/>
      <c r="C7" s="1"/>
      <c r="D7" s="1"/>
      <c r="E7" s="1"/>
    </row>
    <row r="8" spans="2:5" x14ac:dyDescent="0.5">
      <c r="B8" s="21" t="s">
        <v>77</v>
      </c>
      <c r="C8" s="21" t="s">
        <v>66</v>
      </c>
      <c r="D8" s="21" t="s">
        <v>67</v>
      </c>
      <c r="E8" s="21" t="s">
        <v>68</v>
      </c>
    </row>
    <row r="9" spans="2:5" x14ac:dyDescent="0.5">
      <c r="B9" s="22">
        <v>1</v>
      </c>
      <c r="C9" s="22" t="s">
        <v>69</v>
      </c>
      <c r="D9" s="22">
        <v>8</v>
      </c>
      <c r="E9" s="22">
        <v>0.01</v>
      </c>
    </row>
    <row r="10" spans="2:5" x14ac:dyDescent="0.5">
      <c r="B10" s="22">
        <v>2</v>
      </c>
      <c r="C10" s="22" t="s">
        <v>70</v>
      </c>
      <c r="D10" s="22">
        <v>1</v>
      </c>
      <c r="E10" s="22">
        <v>0.05</v>
      </c>
    </row>
    <row r="11" spans="2:5" x14ac:dyDescent="0.5">
      <c r="B11" s="22">
        <v>3</v>
      </c>
      <c r="C11" s="22" t="s">
        <v>71</v>
      </c>
      <c r="D11" s="22">
        <v>1</v>
      </c>
      <c r="E11" s="22">
        <v>0.05</v>
      </c>
    </row>
    <row r="12" spans="2:5" x14ac:dyDescent="0.5">
      <c r="B12" s="22">
        <v>4</v>
      </c>
      <c r="C12" s="22" t="s">
        <v>72</v>
      </c>
      <c r="D12" s="22">
        <v>1</v>
      </c>
      <c r="E12" s="22">
        <v>0.1</v>
      </c>
    </row>
    <row r="13" spans="2:5" x14ac:dyDescent="0.5">
      <c r="B13" s="22">
        <v>5</v>
      </c>
      <c r="C13" s="22" t="s">
        <v>73</v>
      </c>
      <c r="D13" s="22">
        <v>4</v>
      </c>
      <c r="E13" s="22">
        <v>0.01</v>
      </c>
    </row>
    <row r="14" spans="2:5" x14ac:dyDescent="0.5">
      <c r="B14" s="22">
        <v>6</v>
      </c>
      <c r="C14" s="22" t="s">
        <v>74</v>
      </c>
      <c r="D14" s="22">
        <v>1</v>
      </c>
      <c r="E14" s="22">
        <v>0.1</v>
      </c>
    </row>
    <row r="15" spans="2:5" x14ac:dyDescent="0.5">
      <c r="B15" s="22">
        <v>7</v>
      </c>
      <c r="C15" s="22" t="s">
        <v>75</v>
      </c>
      <c r="D15" s="22">
        <v>1</v>
      </c>
      <c r="E15" s="22">
        <v>0.1</v>
      </c>
    </row>
    <row r="16" spans="2:5" x14ac:dyDescent="0.5">
      <c r="B16" s="22">
        <v>8</v>
      </c>
      <c r="C16" s="22" t="s">
        <v>76</v>
      </c>
      <c r="D16" s="22">
        <v>1</v>
      </c>
      <c r="E16" s="22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inMenu_Click">
                <anchor moveWithCells="1" sizeWithCells="1">
                  <from>
                    <xdr:col>2</xdr:col>
                    <xdr:colOff>482600</xdr:colOff>
                    <xdr:row>2</xdr:row>
                    <xdr:rowOff>84667</xdr:rowOff>
                  </from>
                  <to>
                    <xdr:col>3</xdr:col>
                    <xdr:colOff>977900</xdr:colOff>
                    <xdr:row>4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  <vt:lpstr>Inventory</vt:lpstr>
      <vt:lpstr>Invoices</vt:lpstr>
      <vt:lpstr>Purchase_Orders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2018-04-21T22:46:16Z</dcterms:modified>
</cp:coreProperties>
</file>