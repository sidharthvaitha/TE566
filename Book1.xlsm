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drawings/drawing6.xml" ContentType="application/vnd.openxmlformats-officedocument.drawing+xml"/>
  <Override PartName="/xl/ctrlProps/ctrlProp17.xml" ContentType="application/vnd.ms-excel.controlproperties+xml"/>
  <Override PartName="/xl/drawings/drawing7.xml" ContentType="application/vnd.openxmlformats-officedocument.drawing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drawings/drawing11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d\Desktop\TE\TE566\"/>
    </mc:Choice>
  </mc:AlternateContent>
  <xr:revisionPtr revIDLastSave="0" documentId="13_ncr:1_{E841C3B9-A622-4EF6-825D-C3E049ECE336}" xr6:coauthVersionLast="31" xr6:coauthVersionMax="31" xr10:uidLastSave="{00000000-0000-0000-0000-000000000000}"/>
  <bookViews>
    <workbookView xWindow="0" yWindow="0" windowWidth="28800" windowHeight="12227" tabRatio="593" firstSheet="6" activeTab="10" xr2:uid="{9E34826B-AEF4-4B5B-A16C-E0CEF96E96D8}"/>
  </bookViews>
  <sheets>
    <sheet name="Main_Menu" sheetId="1" r:id="rId1"/>
    <sheet name="Customers" sheetId="3" r:id="rId2"/>
    <sheet name="Vendors" sheetId="4" r:id="rId3"/>
    <sheet name="Employees" sheetId="2" r:id="rId4"/>
    <sheet name="Payroll_Payments" sheetId="5" r:id="rId5"/>
    <sheet name="Income_Statement" sheetId="6" r:id="rId6"/>
    <sheet name="Balance_sheet" sheetId="7" r:id="rId7"/>
    <sheet name="Inventory" sheetId="8" r:id="rId8"/>
    <sheet name="Invoices" sheetId="10" r:id="rId9"/>
    <sheet name="Purchase_Orders" sheetId="11" r:id="rId10"/>
    <sheet name="Items" sheetId="9" r:id="rId11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1" l="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7" i="11"/>
  <c r="B6" i="11"/>
  <c r="B5" i="11"/>
  <c r="B7" i="10"/>
  <c r="B8" i="10" s="1"/>
  <c r="B9" i="10" s="1"/>
  <c r="B10" i="10" s="1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K13" i="8" l="1"/>
  <c r="L8" i="11"/>
  <c r="L7" i="11"/>
  <c r="G20" i="7"/>
  <c r="G14" i="7"/>
  <c r="G18" i="7"/>
  <c r="G12" i="7"/>
  <c r="E17" i="7"/>
  <c r="E9" i="7"/>
  <c r="E14" i="7"/>
  <c r="H6" i="5"/>
  <c r="H5" i="5"/>
  <c r="K6" i="10"/>
  <c r="J9" i="8"/>
  <c r="E9" i="8"/>
  <c r="E10" i="8"/>
  <c r="E11" i="8"/>
  <c r="E12" i="8"/>
  <c r="E13" i="8"/>
  <c r="E14" i="8"/>
  <c r="E15" i="8"/>
  <c r="E8" i="8"/>
  <c r="D8" i="6" l="1"/>
  <c r="D19" i="6" s="1"/>
  <c r="D20" i="6" l="1"/>
  <c r="D21" i="6" s="1"/>
</calcChain>
</file>

<file path=xl/sharedStrings.xml><?xml version="1.0" encoding="utf-8"?>
<sst xmlns="http://schemas.openxmlformats.org/spreadsheetml/2006/main" count="156" uniqueCount="113">
  <si>
    <t>Last Name</t>
  </si>
  <si>
    <t>First Name</t>
  </si>
  <si>
    <t>Address Line 1</t>
  </si>
  <si>
    <t>Address Line 2</t>
  </si>
  <si>
    <t>City</t>
  </si>
  <si>
    <t>State</t>
  </si>
  <si>
    <t>Zip</t>
  </si>
  <si>
    <t>Social Security #</t>
  </si>
  <si>
    <t># of Withholdings</t>
  </si>
  <si>
    <t>Salary</t>
  </si>
  <si>
    <t>Company Name</t>
  </si>
  <si>
    <t>Vendor Name</t>
  </si>
  <si>
    <t xml:space="preserve">Part </t>
  </si>
  <si>
    <t>Price/Unit</t>
  </si>
  <si>
    <t>Sid</t>
  </si>
  <si>
    <t>Name 2</t>
  </si>
  <si>
    <t>Name 3</t>
  </si>
  <si>
    <t>Date Paid</t>
  </si>
  <si>
    <t>Employee</t>
  </si>
  <si>
    <t>Disbursement</t>
  </si>
  <si>
    <t>Witholding (25%)</t>
  </si>
  <si>
    <t>Total Payroll Expenses</t>
  </si>
  <si>
    <t>Total Witholding</t>
  </si>
  <si>
    <t>17/04/18</t>
  </si>
  <si>
    <t>Name 35</t>
  </si>
  <si>
    <t>testlast</t>
  </si>
  <si>
    <t>Testfirst</t>
  </si>
  <si>
    <t>Testfirsttestlast</t>
  </si>
  <si>
    <t>Sales</t>
  </si>
  <si>
    <t>COGS</t>
  </si>
  <si>
    <t>Gross Profit</t>
  </si>
  <si>
    <t>Expenses</t>
  </si>
  <si>
    <t>Payroll</t>
  </si>
  <si>
    <t>Payroll Withholding</t>
  </si>
  <si>
    <t>Bills</t>
  </si>
  <si>
    <t>Annual Expenses</t>
  </si>
  <si>
    <t>Total Expenses</t>
  </si>
  <si>
    <t>Other Income</t>
  </si>
  <si>
    <t>Operating Income</t>
  </si>
  <si>
    <t>Income Taxes</t>
  </si>
  <si>
    <t>Net Income</t>
  </si>
  <si>
    <t>Income Statement</t>
  </si>
  <si>
    <t>Cash</t>
  </si>
  <si>
    <t>Accounts Receivable</t>
  </si>
  <si>
    <t>Inventory</t>
  </si>
  <si>
    <t>Total Current Assets</t>
  </si>
  <si>
    <t>Land/Buildings</t>
  </si>
  <si>
    <t>Equipment</t>
  </si>
  <si>
    <t>Furniture and Fixtures</t>
  </si>
  <si>
    <t>Total Assets</t>
  </si>
  <si>
    <t>Total Fixed Assets</t>
  </si>
  <si>
    <t>Accounts Payable</t>
  </si>
  <si>
    <t>Notes Payable</t>
  </si>
  <si>
    <t>Accurals</t>
  </si>
  <si>
    <t>Total Current Liabilities</t>
  </si>
  <si>
    <t>Mortgage</t>
  </si>
  <si>
    <t>Total Long Term Debt</t>
  </si>
  <si>
    <t xml:space="preserve">Total Liabilities </t>
  </si>
  <si>
    <t>ASSETS</t>
  </si>
  <si>
    <t>LIABILITIES AND NET WORTH</t>
  </si>
  <si>
    <t>Part</t>
  </si>
  <si>
    <t xml:space="preserve">Quantity </t>
  </si>
  <si>
    <t>Value</t>
  </si>
  <si>
    <t>ReOrder</t>
  </si>
  <si>
    <t xml:space="preserve">Total Complete units that can be  </t>
  </si>
  <si>
    <t>built from current inventroy</t>
  </si>
  <si>
    <t>Item</t>
  </si>
  <si>
    <t xml:space="preserve">Quantity Per Truck </t>
  </si>
  <si>
    <t xml:space="preserve">Unit Cost </t>
  </si>
  <si>
    <t>Wheels</t>
  </si>
  <si>
    <t>Windshield Glass</t>
  </si>
  <si>
    <t>Interior</t>
  </si>
  <si>
    <t>Tank</t>
  </si>
  <si>
    <t>Axles</t>
  </si>
  <si>
    <t>Cab</t>
  </si>
  <si>
    <t>Body</t>
  </si>
  <si>
    <t>Box (packaging)</t>
  </si>
  <si>
    <t>No.</t>
  </si>
  <si>
    <t>Invoice Number</t>
  </si>
  <si>
    <t>Customer</t>
  </si>
  <si>
    <t>Total</t>
  </si>
  <si>
    <t>Invoices</t>
  </si>
  <si>
    <t>Total Sales</t>
  </si>
  <si>
    <t>Cogs</t>
  </si>
  <si>
    <t>PO Number</t>
  </si>
  <si>
    <t>Supplier</t>
  </si>
  <si>
    <t>Price/Part</t>
  </si>
  <si>
    <t>Date</t>
  </si>
  <si>
    <t>Mr. TRUCK INC</t>
  </si>
  <si>
    <t>chdsfjkhsd</t>
  </si>
  <si>
    <t>hdfkj</t>
  </si>
  <si>
    <t>20/04/18</t>
  </si>
  <si>
    <t>A</t>
  </si>
  <si>
    <t>B</t>
  </si>
  <si>
    <t>C</t>
  </si>
  <si>
    <t>D</t>
  </si>
  <si>
    <t>Net Worth Beginning</t>
  </si>
  <si>
    <t>Net Worth Ending</t>
  </si>
  <si>
    <t xml:space="preserve">Net Worth and Liabilities </t>
  </si>
  <si>
    <t>21/04/18</t>
  </si>
  <si>
    <t>hdfkjchdsfjkhsd</t>
  </si>
  <si>
    <t>Total Value of Inventory</t>
  </si>
  <si>
    <t>fsdf</t>
  </si>
  <si>
    <t>fgsd</t>
  </si>
  <si>
    <t>dsa</t>
  </si>
  <si>
    <t>dasdsa</t>
  </si>
  <si>
    <t>Employees</t>
  </si>
  <si>
    <t>Vendors</t>
  </si>
  <si>
    <t>Customers</t>
  </si>
  <si>
    <t>Payroll Payments</t>
  </si>
  <si>
    <t>Purchase Orders</t>
  </si>
  <si>
    <t>Items</t>
  </si>
  <si>
    <t>Balance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</si>
</sst>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Border="1"/>
    <xf numFmtId="0" fontId="2" fillId="0" borderId="2" xfId="0" applyFont="1" applyFill="1" applyBorder="1"/>
    <xf numFmtId="0" fontId="0" fillId="0" borderId="3" xfId="0" applyBorder="1"/>
    <xf numFmtId="0" fontId="2" fillId="0" borderId="4" xfId="0" applyFont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4" xfId="0" applyBorder="1"/>
    <xf numFmtId="0" fontId="2" fillId="0" borderId="6" xfId="0" applyFont="1" applyBorder="1"/>
    <xf numFmtId="0" fontId="2" fillId="0" borderId="0" xfId="0" applyFont="1" applyBorder="1"/>
    <xf numFmtId="0" fontId="0" fillId="0" borderId="6" xfId="0" applyFill="1" applyBorder="1" applyAlignment="1">
      <alignment horizontal="center"/>
    </xf>
    <xf numFmtId="0" fontId="0" fillId="0" borderId="10" xfId="0" applyBorder="1"/>
    <xf numFmtId="0" fontId="2" fillId="0" borderId="4" xfId="0" applyFont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/>
    </xf>
    <xf numFmtId="164" fontId="2" fillId="0" borderId="5" xfId="0" applyNumberFormat="1" applyFont="1" applyBorder="1" applyAlignment="1">
      <alignment horizontal="center"/>
    </xf>
    <xf numFmtId="0" fontId="0" fillId="0" borderId="2" xfId="0" applyBorder="1"/>
    <xf numFmtId="0" fontId="0" fillId="0" borderId="11" xfId="0" applyBorder="1"/>
    <xf numFmtId="0" fontId="5" fillId="0" borderId="0" xfId="0" applyFont="1" applyBorder="1"/>
    <xf numFmtId="0" fontId="4" fillId="0" borderId="0" xfId="0" applyFont="1" applyBorder="1" applyAlignme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Font="1" applyBorder="1"/>
    <xf numFmtId="44" fontId="0" fillId="0" borderId="0" xfId="1" applyFont="1"/>
    <xf numFmtId="44" fontId="0" fillId="0" borderId="0" xfId="1" applyFont="1" applyBorder="1"/>
    <xf numFmtId="44" fontId="0" fillId="0" borderId="0" xfId="1" applyFont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0" xfId="0" applyFont="1" applyFill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4" fontId="0" fillId="0" borderId="0" xfId="1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3" fillId="0" borderId="0" xfId="0" applyFont="1" applyBorder="1"/>
    <xf numFmtId="0" fontId="3" fillId="0" borderId="0" xfId="0" applyFont="1"/>
    <xf numFmtId="44" fontId="0" fillId="0" borderId="7" xfId="1" applyFont="1" applyBorder="1"/>
    <xf numFmtId="44" fontId="0" fillId="0" borderId="0" xfId="1" applyFont="1" applyFill="1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7" xfId="1" applyFont="1" applyFill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5" xfId="1" applyFont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4" fontId="2" fillId="0" borderId="7" xfId="1" applyFont="1" applyBorder="1"/>
    <xf numFmtId="44" fontId="2" fillId="0" borderId="5" xfId="1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44" fontId="2" fillId="0" borderId="1" xfId="1" applyFont="1" applyFill="1" applyBorder="1" applyAlignment="1">
      <alignment horizontal="center" vertical="center"/>
    </xf>
    <xf numFmtId="44" fontId="2" fillId="0" borderId="1" xfId="1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84667</xdr:colOff>
          <xdr:row>8</xdr:row>
          <xdr:rowOff>84667</xdr:rowOff>
        </xdr:from>
        <xdr:to>
          <xdr:col>4</xdr:col>
          <xdr:colOff>38100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Employee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122767</xdr:colOff>
          <xdr:row>5</xdr:row>
          <xdr:rowOff>8467</xdr:rowOff>
        </xdr:from>
        <xdr:to>
          <xdr:col>4</xdr:col>
          <xdr:colOff>59267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21167</xdr:colOff>
          <xdr:row>6</xdr:row>
          <xdr:rowOff>182033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8467</xdr:colOff>
          <xdr:row>8</xdr:row>
          <xdr:rowOff>8467</xdr:rowOff>
        </xdr:from>
        <xdr:to>
          <xdr:col>7</xdr:col>
          <xdr:colOff>601133</xdr:colOff>
          <xdr:row>9</xdr:row>
          <xdr:rowOff>173567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5</xdr:row>
          <xdr:rowOff>0</xdr:rowOff>
        </xdr:from>
        <xdr:to>
          <xdr:col>12</xdr:col>
          <xdr:colOff>21167</xdr:colOff>
          <xdr:row>7</xdr:row>
          <xdr:rowOff>21167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Vendors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8467</xdr:colOff>
          <xdr:row>8</xdr:row>
          <xdr:rowOff>8467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Vendor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626533</xdr:colOff>
          <xdr:row>11</xdr:row>
          <xdr:rowOff>177800</xdr:rowOff>
        </xdr:from>
        <xdr:to>
          <xdr:col>3</xdr:col>
          <xdr:colOff>639233</xdr:colOff>
          <xdr:row>14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Pay Employees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12</xdr:row>
          <xdr:rowOff>0</xdr:rowOff>
        </xdr:from>
        <xdr:to>
          <xdr:col>8</xdr:col>
          <xdr:colOff>25400</xdr:colOff>
          <xdr:row>14</xdr:row>
          <xdr:rowOff>4233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11</xdr:row>
          <xdr:rowOff>177800</xdr:rowOff>
        </xdr:from>
        <xdr:to>
          <xdr:col>12</xdr:col>
          <xdr:colOff>12700</xdr:colOff>
          <xdr:row>13</xdr:row>
          <xdr:rowOff>160867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639234</xdr:colOff>
          <xdr:row>16</xdr:row>
          <xdr:rowOff>25400</xdr:rowOff>
        </xdr:from>
        <xdr:to>
          <xdr:col>7</xdr:col>
          <xdr:colOff>630766</xdr:colOff>
          <xdr:row>18</xdr:row>
          <xdr:rowOff>12700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626533</xdr:colOff>
          <xdr:row>20</xdr:row>
          <xdr:rowOff>0</xdr:rowOff>
        </xdr:from>
        <xdr:to>
          <xdr:col>6</xdr:col>
          <xdr:colOff>12700</xdr:colOff>
          <xdr:row>22</xdr:row>
          <xdr:rowOff>8467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the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630767</xdr:colOff>
          <xdr:row>19</xdr:row>
          <xdr:rowOff>169333</xdr:rowOff>
        </xdr:from>
        <xdr:to>
          <xdr:col>9</xdr:col>
          <xdr:colOff>21167</xdr:colOff>
          <xdr:row>21</xdr:row>
          <xdr:rowOff>165100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Income Statement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148167</xdr:rowOff>
        </xdr:from>
        <xdr:to>
          <xdr:col>5</xdr:col>
          <xdr:colOff>512234</xdr:colOff>
          <xdr:row>2</xdr:row>
          <xdr:rowOff>33867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262467</xdr:rowOff>
        </xdr:from>
        <xdr:to>
          <xdr:col>5</xdr:col>
          <xdr:colOff>283634</xdr:colOff>
          <xdr:row>2</xdr:row>
          <xdr:rowOff>63500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423334</xdr:colOff>
          <xdr:row>0</xdr:row>
          <xdr:rowOff>173567</xdr:rowOff>
        </xdr:from>
        <xdr:to>
          <xdr:col>5</xdr:col>
          <xdr:colOff>635000</xdr:colOff>
          <xdr:row>2</xdr:row>
          <xdr:rowOff>29634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702734</xdr:colOff>
          <xdr:row>1</xdr:row>
          <xdr:rowOff>0</xdr:rowOff>
        </xdr:from>
        <xdr:to>
          <xdr:col>5</xdr:col>
          <xdr:colOff>50800</xdr:colOff>
          <xdr:row>2</xdr:row>
          <xdr:rowOff>131233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97367</xdr:colOff>
          <xdr:row>0</xdr:row>
          <xdr:rowOff>169333</xdr:rowOff>
        </xdr:from>
        <xdr:to>
          <xdr:col>4</xdr:col>
          <xdr:colOff>300566</xdr:colOff>
          <xdr:row>2</xdr:row>
          <xdr:rowOff>131233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1185333</xdr:colOff>
          <xdr:row>0</xdr:row>
          <xdr:rowOff>88899</xdr:rowOff>
        </xdr:from>
        <xdr:to>
          <xdr:col>5</xdr:col>
          <xdr:colOff>918633</xdr:colOff>
          <xdr:row>2</xdr:row>
          <xdr:rowOff>63499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402166</xdr:colOff>
          <xdr:row>2</xdr:row>
          <xdr:rowOff>8467</xdr:rowOff>
        </xdr:from>
        <xdr:to>
          <xdr:col>4</xdr:col>
          <xdr:colOff>732367</xdr:colOff>
          <xdr:row>3</xdr:row>
          <xdr:rowOff>131233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393700</xdr:colOff>
          <xdr:row>2</xdr:row>
          <xdr:rowOff>4233</xdr:rowOff>
        </xdr:from>
        <xdr:to>
          <xdr:col>4</xdr:col>
          <xdr:colOff>385233</xdr:colOff>
          <xdr:row>3</xdr:row>
          <xdr:rowOff>93133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905933</xdr:colOff>
          <xdr:row>0</xdr:row>
          <xdr:rowOff>131234</xdr:rowOff>
        </xdr:from>
        <xdr:to>
          <xdr:col>5</xdr:col>
          <xdr:colOff>385234</xdr:colOff>
          <xdr:row>2</xdr:row>
          <xdr:rowOff>59267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618067</xdr:colOff>
          <xdr:row>2</xdr:row>
          <xdr:rowOff>152401</xdr:rowOff>
        </xdr:from>
        <xdr:to>
          <xdr:col>3</xdr:col>
          <xdr:colOff>706967</xdr:colOff>
          <xdr:row>4</xdr:row>
          <xdr:rowOff>50801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CBB8C-E013-40B5-A9C6-E33AD09CE4BB}">
  <sheetPr codeName="Sheet1"/>
  <dimension ref="B1:M26"/>
  <sheetViews>
    <sheetView showGridLines="0" workbookViewId="0">
      <selection activeCell="K20" sqref="K20"/>
    </sheetView>
  </sheetViews>
  <sheetFormatPr defaultRowHeight="14.35" x14ac:dyDescent="0.5"/>
  <sheetData>
    <row r="1" spans="2:13" ht="14.7" thickBot="1" x14ac:dyDescent="0.55000000000000004"/>
    <row r="2" spans="2:13" x14ac:dyDescent="0.5">
      <c r="B2" s="17"/>
      <c r="C2" s="18"/>
      <c r="D2" s="18"/>
      <c r="E2" s="18"/>
      <c r="F2" s="18"/>
      <c r="G2" s="18"/>
      <c r="H2" s="18"/>
      <c r="I2" s="18"/>
      <c r="J2" s="18"/>
      <c r="K2" s="18"/>
      <c r="L2" s="18"/>
      <c r="M2" s="3"/>
    </row>
    <row r="3" spans="2:13" ht="61.35" x14ac:dyDescent="2">
      <c r="B3" s="6"/>
      <c r="C3" s="1"/>
      <c r="D3" s="1"/>
      <c r="E3" s="19" t="s">
        <v>88</v>
      </c>
      <c r="F3" s="1"/>
      <c r="G3" s="20"/>
      <c r="H3" s="20"/>
      <c r="I3" s="20"/>
      <c r="J3" s="20"/>
      <c r="K3" s="20"/>
      <c r="L3" s="1"/>
      <c r="M3" s="7"/>
    </row>
    <row r="4" spans="2:13" x14ac:dyDescent="0.5">
      <c r="B4" s="6"/>
      <c r="C4" s="1"/>
      <c r="D4" s="1"/>
      <c r="E4" s="1"/>
      <c r="F4" s="1"/>
      <c r="G4" s="1"/>
      <c r="H4" s="1"/>
      <c r="I4" s="1"/>
      <c r="J4" s="1"/>
      <c r="K4" s="1"/>
      <c r="L4" s="1"/>
      <c r="M4" s="7"/>
    </row>
    <row r="5" spans="2:13" x14ac:dyDescent="0.5">
      <c r="B5" s="6"/>
      <c r="C5" s="1"/>
      <c r="D5" s="1"/>
      <c r="E5" s="1"/>
      <c r="F5" s="1"/>
      <c r="G5" s="1"/>
      <c r="H5" s="1"/>
      <c r="I5" s="1"/>
      <c r="J5" s="1"/>
      <c r="K5" s="1"/>
      <c r="L5" s="1"/>
      <c r="M5" s="7"/>
    </row>
    <row r="6" spans="2:13" x14ac:dyDescent="0.5">
      <c r="B6" s="6"/>
      <c r="C6" s="1"/>
      <c r="D6" s="1"/>
      <c r="E6" s="1"/>
      <c r="F6" s="1"/>
      <c r="G6" s="1"/>
      <c r="H6" s="1"/>
      <c r="I6" s="1"/>
      <c r="J6" s="1"/>
      <c r="K6" s="1"/>
      <c r="L6" s="1"/>
      <c r="M6" s="7"/>
    </row>
    <row r="7" spans="2:13" x14ac:dyDescent="0.5">
      <c r="B7" s="6"/>
      <c r="C7" s="1"/>
      <c r="D7" s="1"/>
      <c r="E7" s="1"/>
      <c r="F7" s="1"/>
      <c r="G7" s="1"/>
      <c r="H7" s="1"/>
      <c r="I7" s="1"/>
      <c r="J7" s="1"/>
      <c r="K7" s="1"/>
      <c r="L7" s="1"/>
      <c r="M7" s="7"/>
    </row>
    <row r="8" spans="2:13" x14ac:dyDescent="0.5">
      <c r="B8" s="6"/>
      <c r="C8" s="1"/>
      <c r="D8" s="1"/>
      <c r="E8" s="1"/>
      <c r="F8" s="1"/>
      <c r="G8" s="1"/>
      <c r="H8" s="1"/>
      <c r="I8" s="1"/>
      <c r="J8" s="1"/>
      <c r="K8" s="1"/>
      <c r="L8" s="1"/>
      <c r="M8" s="7"/>
    </row>
    <row r="9" spans="2:13" x14ac:dyDescent="0.5">
      <c r="B9" s="6"/>
      <c r="C9" s="1"/>
      <c r="D9" s="1"/>
      <c r="E9" s="1"/>
      <c r="F9" s="1"/>
      <c r="G9" s="1"/>
      <c r="H9" s="1"/>
      <c r="I9" s="1"/>
      <c r="J9" s="1"/>
      <c r="K9" s="1"/>
      <c r="L9" s="1"/>
      <c r="M9" s="7"/>
    </row>
    <row r="10" spans="2:13" x14ac:dyDescent="0.5">
      <c r="B10" s="6"/>
      <c r="C10" s="1"/>
      <c r="D10" s="1"/>
      <c r="E10" s="1"/>
      <c r="F10" s="1"/>
      <c r="G10" s="1"/>
      <c r="H10" s="1"/>
      <c r="I10" s="1"/>
      <c r="J10" s="1"/>
      <c r="K10" s="1"/>
      <c r="L10" s="1"/>
      <c r="M10" s="7"/>
    </row>
    <row r="11" spans="2:13" x14ac:dyDescent="0.5">
      <c r="B11" s="6"/>
      <c r="C11" s="1"/>
      <c r="D11" s="1"/>
      <c r="E11" s="1"/>
      <c r="F11" s="1"/>
      <c r="G11" s="1"/>
      <c r="H11" s="1"/>
      <c r="I11" s="1"/>
      <c r="J11" s="1"/>
      <c r="K11" s="1"/>
      <c r="L11" s="1"/>
      <c r="M11" s="7"/>
    </row>
    <row r="12" spans="2:13" x14ac:dyDescent="0.5">
      <c r="B12" s="6"/>
      <c r="C12" s="1"/>
      <c r="D12" s="1"/>
      <c r="E12" s="1"/>
      <c r="F12" s="1"/>
      <c r="G12" s="1"/>
      <c r="H12" s="1"/>
      <c r="I12" s="1"/>
      <c r="J12" s="1"/>
      <c r="K12" s="1"/>
      <c r="L12" s="1"/>
      <c r="M12" s="7"/>
    </row>
    <row r="13" spans="2:13" x14ac:dyDescent="0.5">
      <c r="B13" s="6"/>
      <c r="C13" s="1"/>
      <c r="D13" s="1"/>
      <c r="E13" s="1"/>
      <c r="F13" s="1"/>
      <c r="G13" s="1"/>
      <c r="H13" s="1"/>
      <c r="I13" s="1"/>
      <c r="J13" s="1"/>
      <c r="K13" s="1"/>
      <c r="L13" s="1"/>
      <c r="M13" s="7"/>
    </row>
    <row r="14" spans="2:13" x14ac:dyDescent="0.5">
      <c r="B14" s="6"/>
      <c r="C14" s="1"/>
      <c r="D14" s="1"/>
      <c r="E14" s="1"/>
      <c r="F14" s="1"/>
      <c r="G14" s="1"/>
      <c r="H14" s="1"/>
      <c r="I14" s="1"/>
      <c r="J14" s="1"/>
      <c r="K14" s="1"/>
      <c r="L14" s="1"/>
      <c r="M14" s="7"/>
    </row>
    <row r="15" spans="2:13" x14ac:dyDescent="0.5">
      <c r="B15" s="6"/>
      <c r="C15" s="1"/>
      <c r="D15" s="1"/>
      <c r="E15" s="1"/>
      <c r="F15" s="1"/>
      <c r="G15" s="1"/>
      <c r="H15" s="1"/>
      <c r="I15" s="1"/>
      <c r="J15" s="1"/>
      <c r="K15" s="1"/>
      <c r="L15" s="1"/>
      <c r="M15" s="7"/>
    </row>
    <row r="16" spans="2:13" x14ac:dyDescent="0.5">
      <c r="B16" s="6"/>
      <c r="C16" s="1"/>
      <c r="D16" s="1"/>
      <c r="E16" s="1"/>
      <c r="F16" s="1"/>
      <c r="G16" s="1"/>
      <c r="H16" s="1"/>
      <c r="I16" s="1"/>
      <c r="J16" s="1"/>
      <c r="K16" s="1"/>
      <c r="L16" s="1"/>
      <c r="M16" s="7"/>
    </row>
    <row r="17" spans="2:13" x14ac:dyDescent="0.5">
      <c r="B17" s="6"/>
      <c r="C17" s="1"/>
      <c r="D17" s="1"/>
      <c r="E17" s="1"/>
      <c r="F17" s="1"/>
      <c r="G17" s="1"/>
      <c r="H17" s="1"/>
      <c r="I17" s="1"/>
      <c r="J17" s="1"/>
      <c r="K17" s="1"/>
      <c r="L17" s="1"/>
      <c r="M17" s="7"/>
    </row>
    <row r="18" spans="2:13" x14ac:dyDescent="0.5">
      <c r="B18" s="6"/>
      <c r="C18" s="1"/>
      <c r="D18" s="1"/>
      <c r="E18" s="1"/>
      <c r="F18" s="1"/>
      <c r="G18" s="1"/>
      <c r="H18" s="1"/>
      <c r="I18" s="1"/>
      <c r="J18" s="1"/>
      <c r="K18" s="1"/>
      <c r="L18" s="1"/>
      <c r="M18" s="7"/>
    </row>
    <row r="19" spans="2:13" x14ac:dyDescent="0.5">
      <c r="B19" s="6"/>
      <c r="C19" s="1"/>
      <c r="D19" s="1"/>
      <c r="E19" s="1"/>
      <c r="F19" s="1"/>
      <c r="G19" s="1"/>
      <c r="H19" s="1"/>
      <c r="I19" s="1"/>
      <c r="J19" s="1"/>
      <c r="K19" s="1"/>
      <c r="L19" s="1"/>
      <c r="M19" s="7"/>
    </row>
    <row r="20" spans="2:13" x14ac:dyDescent="0.5">
      <c r="B20" s="6"/>
      <c r="C20" s="1"/>
      <c r="D20" s="1"/>
      <c r="E20" s="1"/>
      <c r="F20" s="1"/>
      <c r="G20" s="1"/>
      <c r="H20" s="1"/>
      <c r="I20" s="1"/>
      <c r="J20" s="1"/>
      <c r="K20" s="1"/>
      <c r="L20" s="1"/>
      <c r="M20" s="7"/>
    </row>
    <row r="21" spans="2:13" x14ac:dyDescent="0.5">
      <c r="B21" s="6"/>
      <c r="C21" s="1"/>
      <c r="D21" s="1"/>
      <c r="E21" s="1"/>
      <c r="F21" s="1"/>
      <c r="G21" s="1"/>
      <c r="H21" s="1"/>
      <c r="I21" s="1"/>
      <c r="J21" s="1"/>
      <c r="K21" s="1"/>
      <c r="L21" s="1"/>
      <c r="M21" s="7"/>
    </row>
    <row r="22" spans="2:13" x14ac:dyDescent="0.5">
      <c r="B22" s="6"/>
      <c r="C22" s="1"/>
      <c r="D22" s="1"/>
      <c r="E22" s="1"/>
      <c r="F22" s="1"/>
      <c r="G22" s="1"/>
      <c r="H22" s="1"/>
      <c r="I22" s="1"/>
      <c r="J22" s="1"/>
      <c r="K22" s="1"/>
      <c r="L22" s="1"/>
      <c r="M22" s="7"/>
    </row>
    <row r="23" spans="2:13" x14ac:dyDescent="0.5">
      <c r="B23" s="6"/>
      <c r="C23" s="1"/>
      <c r="D23" s="1"/>
      <c r="E23" s="1"/>
      <c r="F23" s="1"/>
      <c r="G23" s="1"/>
      <c r="H23" s="1"/>
      <c r="I23" s="1"/>
      <c r="J23" s="1"/>
      <c r="K23" s="1"/>
      <c r="L23" s="1"/>
      <c r="M23" s="7"/>
    </row>
    <row r="24" spans="2:13" x14ac:dyDescent="0.5">
      <c r="B24" s="6"/>
      <c r="C24" s="1"/>
      <c r="D24" s="1"/>
      <c r="E24" s="1"/>
      <c r="F24" s="1"/>
      <c r="G24" s="1"/>
      <c r="H24" s="1"/>
      <c r="I24" s="1"/>
      <c r="J24" s="1"/>
      <c r="K24" s="1"/>
      <c r="L24" s="1"/>
      <c r="M24" s="7"/>
    </row>
    <row r="25" spans="2:13" x14ac:dyDescent="0.5">
      <c r="B25" s="6"/>
      <c r="C25" s="1"/>
      <c r="D25" s="1"/>
      <c r="E25" s="1"/>
      <c r="F25" s="1"/>
      <c r="G25" s="1"/>
      <c r="H25" s="1"/>
      <c r="I25" s="1"/>
      <c r="J25" s="1"/>
      <c r="K25" s="1"/>
      <c r="L25" s="1"/>
      <c r="M25" s="7"/>
    </row>
    <row r="26" spans="2:13" ht="14.7" thickBot="1" x14ac:dyDescent="0.55000000000000004">
      <c r="B26" s="8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5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Employees_Click">
                <anchor moveWithCells="1" sizeWithCells="1">
                  <from>
                    <xdr:col>2</xdr:col>
                    <xdr:colOff>84667</xdr:colOff>
                    <xdr:row>8</xdr:row>
                    <xdr:rowOff>84667</xdr:rowOff>
                  </from>
                  <to>
                    <xdr:col>4</xdr:col>
                    <xdr:colOff>38100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Employees_Click">
                <anchor moveWithCells="1" sizeWithCells="1">
                  <from>
                    <xdr:col>2</xdr:col>
                    <xdr:colOff>122767</xdr:colOff>
                    <xdr:row>5</xdr:row>
                    <xdr:rowOff>8467</xdr:rowOff>
                  </from>
                  <to>
                    <xdr:col>4</xdr:col>
                    <xdr:colOff>59267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owCustomers_Click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21167</xdr:colOff>
                    <xdr:row>6</xdr:row>
                    <xdr:rowOff>182033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ddCustomer_Click">
                <anchor moveWithCells="1" sizeWithCells="1">
                  <from>
                    <xdr:col>6</xdr:col>
                    <xdr:colOff>8467</xdr:colOff>
                    <xdr:row>8</xdr:row>
                    <xdr:rowOff>8467</xdr:rowOff>
                  </from>
                  <to>
                    <xdr:col>7</xdr:col>
                    <xdr:colOff>601133</xdr:colOff>
                    <xdr:row>9</xdr:row>
                    <xdr:rowOff>173567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howVendors_Click">
                <anchor moveWithCells="1" sizeWithCells="1">
                  <from>
                    <xdr:col>10</xdr:col>
                    <xdr:colOff>8467</xdr:colOff>
                    <xdr:row>5</xdr:row>
                    <xdr:rowOff>0</xdr:rowOff>
                  </from>
                  <to>
                    <xdr:col>12</xdr:col>
                    <xdr:colOff>21167</xdr:colOff>
                    <xdr:row>7</xdr:row>
                    <xdr:rowOff>21167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ddVendor_Click">
                <anchor moveWithCells="1" sizeWithCells="1">
                  <from>
                    <xdr:col>10</xdr:col>
                    <xdr:colOff>8467</xdr:colOff>
                    <xdr:row>8</xdr:row>
                    <xdr:rowOff>8467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PayEmployees_Click">
                <anchor moveWithCells="1" sizeWithCells="1">
                  <from>
                    <xdr:col>1</xdr:col>
                    <xdr:colOff>626533</xdr:colOff>
                    <xdr:row>11</xdr:row>
                    <xdr:rowOff>177800</xdr:rowOff>
                  </from>
                  <to>
                    <xdr:col>3</xdr:col>
                    <xdr:colOff>639233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AddInvoice_Click">
                <anchor moveWithCells="1" sizeWithCells="1">
                  <from>
                    <xdr:col>6</xdr:col>
                    <xdr:colOff>12700</xdr:colOff>
                    <xdr:row>12</xdr:row>
                    <xdr:rowOff>0</xdr:rowOff>
                  </from>
                  <to>
                    <xdr:col>8</xdr:col>
                    <xdr:colOff>25400</xdr:colOff>
                    <xdr:row>14</xdr:row>
                    <xdr:rowOff>4233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 macro="[0]!ShowPO_Click">
                <anchor moveWithCells="1" sizeWithCells="1">
                  <from>
                    <xdr:col>10</xdr:col>
                    <xdr:colOff>25400</xdr:colOff>
                    <xdr:row>11</xdr:row>
                    <xdr:rowOff>177800</xdr:rowOff>
                  </from>
                  <to>
                    <xdr:col>12</xdr:col>
                    <xdr:colOff>12700</xdr:colOff>
                    <xdr:row>13</xdr:row>
                    <xdr:rowOff>160867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 macro="[0]!ShowInventory_Click">
                <anchor moveWithCells="1" sizeWithCells="1">
                  <from>
                    <xdr:col>5</xdr:col>
                    <xdr:colOff>639233</xdr:colOff>
                    <xdr:row>16</xdr:row>
                    <xdr:rowOff>25400</xdr:rowOff>
                  </from>
                  <to>
                    <xdr:col>7</xdr:col>
                    <xdr:colOff>630767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ShowBalanceSheet_Click">
                <anchor moveWithCells="1" sizeWithCells="1">
                  <from>
                    <xdr:col>3</xdr:col>
                    <xdr:colOff>626533</xdr:colOff>
                    <xdr:row>20</xdr:row>
                    <xdr:rowOff>0</xdr:rowOff>
                  </from>
                  <to>
                    <xdr:col>6</xdr:col>
                    <xdr:colOff>12700</xdr:colOff>
                    <xdr:row>22</xdr:row>
                    <xdr:rowOff>8467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ShowIncomeStatement_Click">
                <anchor moveWithCells="1" sizeWithCells="1">
                  <from>
                    <xdr:col>6</xdr:col>
                    <xdr:colOff>630767</xdr:colOff>
                    <xdr:row>19</xdr:row>
                    <xdr:rowOff>169333</xdr:rowOff>
                  </from>
                  <to>
                    <xdr:col>9</xdr:col>
                    <xdr:colOff>21167</xdr:colOff>
                    <xdr:row>21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32A8-EFC7-45C1-8F52-953DF19B8486}">
  <sheetPr codeName="Sheet3"/>
  <dimension ref="A1:P35"/>
  <sheetViews>
    <sheetView showGridLines="0" workbookViewId="0">
      <selection activeCell="B4" sqref="B4:I4"/>
    </sheetView>
  </sheetViews>
  <sheetFormatPr defaultColWidth="11.87890625" defaultRowHeight="14.35" x14ac:dyDescent="0.5"/>
  <cols>
    <col min="2" max="2" width="15.1171875" style="22" bestFit="1" customWidth="1"/>
    <col min="3" max="4" width="11.87890625" style="22"/>
    <col min="5" max="6" width="13.87890625" style="22" bestFit="1" customWidth="1"/>
    <col min="7" max="7" width="10.29296875" style="22" customWidth="1"/>
    <col min="8" max="8" width="14.29296875" style="22" customWidth="1"/>
    <col min="9" max="9" width="11.87890625" style="22"/>
  </cols>
  <sheetData>
    <row r="1" spans="1:13" x14ac:dyDescent="0.5">
      <c r="C1" s="33"/>
      <c r="D1" s="33"/>
      <c r="E1" s="33"/>
      <c r="F1" s="33"/>
      <c r="G1" s="33"/>
      <c r="H1" s="33"/>
      <c r="I1" s="33"/>
      <c r="J1" s="1"/>
      <c r="K1" s="1"/>
      <c r="L1" s="1"/>
      <c r="M1" s="1"/>
    </row>
    <row r="2" spans="1:13" ht="23.35" x14ac:dyDescent="0.8">
      <c r="A2" s="1"/>
      <c r="B2" s="36" t="s">
        <v>108</v>
      </c>
      <c r="C2" s="33"/>
      <c r="D2" s="33"/>
      <c r="E2" s="33"/>
      <c r="F2" s="33"/>
      <c r="G2" s="33"/>
      <c r="H2" s="33"/>
      <c r="I2" s="33"/>
      <c r="J2" s="1"/>
      <c r="K2" s="1"/>
      <c r="L2" s="1"/>
      <c r="M2" s="1"/>
    </row>
    <row r="3" spans="1:13" x14ac:dyDescent="0.5">
      <c r="A3" s="1"/>
      <c r="B3" s="33"/>
      <c r="C3" s="33"/>
      <c r="D3" s="33"/>
      <c r="E3" s="33"/>
      <c r="F3" s="33"/>
      <c r="G3" s="33"/>
      <c r="H3" s="33"/>
      <c r="I3" s="33"/>
      <c r="J3" s="1"/>
      <c r="K3" s="1"/>
      <c r="L3" s="1"/>
      <c r="M3" s="1"/>
    </row>
    <row r="4" spans="1:13" x14ac:dyDescent="0.5">
      <c r="A4" s="1"/>
      <c r="B4" s="49" t="s">
        <v>10</v>
      </c>
      <c r="C4" s="49" t="s">
        <v>0</v>
      </c>
      <c r="D4" s="49" t="s">
        <v>1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1"/>
      <c r="K4" s="1"/>
      <c r="L4" s="1"/>
      <c r="M4" s="1"/>
    </row>
    <row r="5" spans="1:13" x14ac:dyDescent="0.5">
      <c r="A5" s="1"/>
      <c r="B5" s="22" t="s">
        <v>92</v>
      </c>
      <c r="E5" s="33"/>
      <c r="F5" s="33"/>
      <c r="G5" s="33"/>
      <c r="H5" s="33"/>
      <c r="I5" s="33"/>
      <c r="J5" s="1"/>
      <c r="K5" s="1"/>
      <c r="L5" s="1"/>
      <c r="M5" s="1"/>
    </row>
    <row r="6" spans="1:13" x14ac:dyDescent="0.5">
      <c r="B6" s="22" t="s">
        <v>93</v>
      </c>
    </row>
    <row r="7" spans="1:13" x14ac:dyDescent="0.5">
      <c r="B7" s="22" t="s">
        <v>94</v>
      </c>
    </row>
    <row r="8" spans="1:13" x14ac:dyDescent="0.5">
      <c r="B8" s="22" t="s">
        <v>95</v>
      </c>
    </row>
    <row r="9" spans="1:13" x14ac:dyDescent="0.5">
      <c r="B9" s="22" t="s">
        <v>104</v>
      </c>
      <c r="C9" s="22" t="s">
        <v>105</v>
      </c>
      <c r="H9" s="22">
        <v>1231</v>
      </c>
    </row>
    <row r="35" spans="14:16" x14ac:dyDescent="0.5">
      <c r="N35" s="1"/>
      <c r="O35" s="1"/>
      <c r="P35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148167</xdr:rowOff>
                  </from>
                  <to>
                    <xdr:col>5</xdr:col>
                    <xdr:colOff>512233</xdr:colOff>
                    <xdr:row>2</xdr:row>
                    <xdr:rowOff>33867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0A4A-8F93-4661-895D-31BF6AFB48EB}">
  <sheetPr codeName="Sheet4"/>
  <dimension ref="A1:M29"/>
  <sheetViews>
    <sheetView showGridLines="0" workbookViewId="0">
      <selection activeCell="B4" sqref="B4:I4"/>
    </sheetView>
  </sheetViews>
  <sheetFormatPr defaultRowHeight="14.35" x14ac:dyDescent="0.5"/>
  <cols>
    <col min="2" max="2" width="15.1171875" bestFit="1" customWidth="1"/>
    <col min="3" max="3" width="10.1171875" bestFit="1" customWidth="1"/>
    <col min="4" max="4" width="10.5859375" style="24" bestFit="1" customWidth="1"/>
    <col min="5" max="6" width="13.87890625" bestFit="1" customWidth="1"/>
  </cols>
  <sheetData>
    <row r="1" spans="1:13" x14ac:dyDescent="0.5">
      <c r="B1" s="1"/>
      <c r="C1" s="1"/>
      <c r="D1" s="25"/>
      <c r="E1" s="1"/>
      <c r="F1" s="1"/>
      <c r="G1" s="1"/>
      <c r="H1" s="1"/>
      <c r="I1" s="1"/>
      <c r="J1" s="1"/>
      <c r="K1" s="1"/>
      <c r="L1" s="1"/>
      <c r="M1" s="1"/>
    </row>
    <row r="2" spans="1:13" ht="23.35" x14ac:dyDescent="0.8">
      <c r="A2" s="36"/>
      <c r="B2" s="36" t="s">
        <v>107</v>
      </c>
      <c r="C2" s="1"/>
      <c r="D2" s="25"/>
      <c r="E2" s="1"/>
      <c r="F2" s="1"/>
      <c r="G2" s="1"/>
      <c r="H2" s="1"/>
      <c r="I2" s="1"/>
      <c r="J2" s="1"/>
      <c r="K2" s="1"/>
      <c r="L2" s="1"/>
      <c r="M2" s="1"/>
    </row>
    <row r="3" spans="1:13" ht="23.35" x14ac:dyDescent="0.8">
      <c r="A3" s="36"/>
      <c r="B3" s="1"/>
      <c r="C3" s="1"/>
      <c r="D3" s="25"/>
      <c r="E3" s="1"/>
      <c r="F3" s="1"/>
      <c r="G3" s="1"/>
      <c r="H3" s="1"/>
      <c r="I3" s="1"/>
      <c r="J3" s="1"/>
      <c r="K3" s="1"/>
      <c r="L3" s="1"/>
      <c r="M3" s="1"/>
    </row>
    <row r="4" spans="1:13" x14ac:dyDescent="0.5">
      <c r="A4" s="1"/>
      <c r="B4" s="49" t="s">
        <v>11</v>
      </c>
      <c r="C4" s="49" t="s">
        <v>12</v>
      </c>
      <c r="D4" s="52" t="s">
        <v>13</v>
      </c>
      <c r="E4" s="49" t="s">
        <v>2</v>
      </c>
      <c r="F4" s="49" t="s">
        <v>3</v>
      </c>
      <c r="G4" s="49" t="s">
        <v>4</v>
      </c>
      <c r="H4" s="49" t="s">
        <v>5</v>
      </c>
      <c r="I4" s="49" t="s">
        <v>6</v>
      </c>
      <c r="J4" s="1"/>
      <c r="K4" s="1"/>
      <c r="L4" s="1"/>
      <c r="M4" s="1"/>
    </row>
    <row r="5" spans="1:13" x14ac:dyDescent="0.5">
      <c r="A5" s="1"/>
      <c r="B5" s="22"/>
      <c r="C5" s="22"/>
      <c r="D5" s="26"/>
      <c r="E5" s="33"/>
      <c r="F5" s="33"/>
      <c r="G5" s="33"/>
      <c r="H5" s="33"/>
      <c r="I5" s="33"/>
      <c r="J5" s="1"/>
      <c r="K5" s="1"/>
      <c r="L5" s="1"/>
      <c r="M5" s="1"/>
    </row>
    <row r="6" spans="1:13" x14ac:dyDescent="0.5">
      <c r="B6" s="22"/>
      <c r="C6" s="22"/>
      <c r="D6" s="26"/>
      <c r="E6" s="22"/>
      <c r="F6" s="22"/>
      <c r="G6" s="22"/>
      <c r="H6" s="22"/>
      <c r="I6" s="22"/>
    </row>
    <row r="7" spans="1:13" x14ac:dyDescent="0.5">
      <c r="B7" s="22"/>
      <c r="C7" s="22"/>
      <c r="D7" s="26"/>
      <c r="E7" s="22"/>
      <c r="F7" s="22"/>
      <c r="G7" s="22"/>
      <c r="H7" s="22"/>
      <c r="I7" s="22"/>
    </row>
    <row r="8" spans="1:13" x14ac:dyDescent="0.5">
      <c r="B8" s="22"/>
      <c r="C8" s="22"/>
      <c r="D8" s="26"/>
      <c r="E8" s="22"/>
      <c r="F8" s="22"/>
      <c r="G8" s="22"/>
      <c r="H8" s="22"/>
      <c r="I8" s="22"/>
    </row>
    <row r="9" spans="1:13" x14ac:dyDescent="0.5">
      <c r="B9" s="22"/>
      <c r="C9" s="22"/>
      <c r="D9" s="26"/>
      <c r="E9" s="22"/>
      <c r="F9" s="22"/>
      <c r="G9" s="22"/>
      <c r="H9" s="22"/>
      <c r="I9" s="22"/>
    </row>
    <row r="10" spans="1:13" x14ac:dyDescent="0.5">
      <c r="B10" s="22"/>
      <c r="C10" s="22"/>
      <c r="D10" s="26"/>
      <c r="E10" s="22"/>
      <c r="F10" s="22"/>
      <c r="G10" s="22"/>
      <c r="H10" s="22"/>
      <c r="I10" s="22"/>
    </row>
    <row r="11" spans="1:13" x14ac:dyDescent="0.5">
      <c r="B11" s="22"/>
      <c r="C11" s="22"/>
      <c r="D11" s="26"/>
      <c r="E11" s="22"/>
      <c r="F11" s="22"/>
      <c r="G11" s="22"/>
      <c r="H11" s="22"/>
      <c r="I11" s="22"/>
    </row>
    <row r="12" spans="1:13" x14ac:dyDescent="0.5">
      <c r="B12" s="22"/>
      <c r="C12" s="22"/>
      <c r="D12" s="26"/>
      <c r="E12" s="22"/>
      <c r="F12" s="22"/>
      <c r="G12" s="22"/>
      <c r="H12" s="22"/>
      <c r="I12" s="22"/>
    </row>
    <row r="13" spans="1:13" x14ac:dyDescent="0.5">
      <c r="B13" s="22"/>
      <c r="C13" s="22"/>
      <c r="D13" s="26"/>
      <c r="E13" s="22"/>
      <c r="F13" s="22"/>
      <c r="G13" s="22"/>
      <c r="H13" s="22"/>
      <c r="I13" s="22"/>
    </row>
    <row r="14" spans="1:13" x14ac:dyDescent="0.5">
      <c r="B14" s="22"/>
      <c r="C14" s="22"/>
      <c r="D14" s="26"/>
      <c r="E14" s="22"/>
      <c r="F14" s="22"/>
      <c r="G14" s="22"/>
      <c r="H14" s="22"/>
      <c r="I14" s="22"/>
    </row>
    <row r="15" spans="1:13" x14ac:dyDescent="0.5">
      <c r="B15" s="22"/>
      <c r="C15" s="22"/>
      <c r="D15" s="26"/>
      <c r="E15" s="22"/>
      <c r="F15" s="22"/>
      <c r="G15" s="22"/>
      <c r="H15" s="22"/>
      <c r="I15" s="22"/>
    </row>
    <row r="16" spans="1:13" x14ac:dyDescent="0.5">
      <c r="B16" s="22"/>
      <c r="C16" s="22"/>
      <c r="D16" s="26"/>
      <c r="E16" s="22"/>
      <c r="F16" s="22"/>
      <c r="G16" s="22"/>
      <c r="H16" s="22"/>
      <c r="I16" s="22"/>
    </row>
    <row r="17" spans="2:9" x14ac:dyDescent="0.5">
      <c r="B17" s="22"/>
      <c r="C17" s="22"/>
      <c r="D17" s="26"/>
      <c r="E17" s="22"/>
      <c r="F17" s="22"/>
      <c r="G17" s="22"/>
      <c r="H17" s="22"/>
      <c r="I17" s="22"/>
    </row>
    <row r="18" spans="2:9" x14ac:dyDescent="0.5">
      <c r="B18" s="22"/>
      <c r="C18" s="22"/>
      <c r="D18" s="26"/>
      <c r="E18" s="22"/>
      <c r="F18" s="22"/>
      <c r="G18" s="22"/>
      <c r="H18" s="22"/>
      <c r="I18" s="22"/>
    </row>
    <row r="19" spans="2:9" x14ac:dyDescent="0.5">
      <c r="B19" s="22"/>
      <c r="C19" s="22"/>
      <c r="D19" s="26"/>
      <c r="E19" s="22"/>
      <c r="F19" s="22"/>
      <c r="G19" s="22"/>
      <c r="H19" s="22"/>
      <c r="I19" s="22"/>
    </row>
    <row r="20" spans="2:9" x14ac:dyDescent="0.5">
      <c r="B20" s="22"/>
      <c r="C20" s="22"/>
      <c r="D20" s="26"/>
      <c r="E20" s="22"/>
      <c r="F20" s="22"/>
      <c r="G20" s="22"/>
      <c r="H20" s="22"/>
      <c r="I20" s="22"/>
    </row>
    <row r="21" spans="2:9" x14ac:dyDescent="0.5">
      <c r="B21" s="22"/>
      <c r="C21" s="22"/>
      <c r="D21" s="26"/>
      <c r="E21" s="22"/>
      <c r="F21" s="22"/>
      <c r="G21" s="22"/>
      <c r="H21" s="22"/>
      <c r="I21" s="22"/>
    </row>
    <row r="22" spans="2:9" x14ac:dyDescent="0.5">
      <c r="B22" s="22"/>
      <c r="C22" s="22"/>
      <c r="D22" s="26"/>
      <c r="E22" s="22"/>
      <c r="F22" s="22"/>
      <c r="G22" s="22"/>
      <c r="H22" s="22"/>
      <c r="I22" s="22"/>
    </row>
    <row r="23" spans="2:9" x14ac:dyDescent="0.5">
      <c r="B23" s="22"/>
      <c r="C23" s="22"/>
      <c r="D23" s="26"/>
      <c r="E23" s="22"/>
      <c r="F23" s="22"/>
      <c r="G23" s="22"/>
      <c r="H23" s="22"/>
      <c r="I23" s="22"/>
    </row>
    <row r="24" spans="2:9" x14ac:dyDescent="0.5">
      <c r="B24" s="22"/>
      <c r="C24" s="22"/>
      <c r="D24" s="26"/>
      <c r="E24" s="22"/>
      <c r="F24" s="22"/>
      <c r="G24" s="22"/>
      <c r="H24" s="22"/>
      <c r="I24" s="22"/>
    </row>
    <row r="25" spans="2:9" x14ac:dyDescent="0.5">
      <c r="B25" s="22"/>
      <c r="C25" s="22"/>
      <c r="D25" s="26"/>
      <c r="E25" s="22"/>
      <c r="F25" s="22"/>
      <c r="G25" s="22"/>
      <c r="H25" s="22"/>
      <c r="I25" s="22"/>
    </row>
    <row r="26" spans="2:9" x14ac:dyDescent="0.5">
      <c r="B26" s="22"/>
      <c r="C26" s="22"/>
      <c r="D26" s="26"/>
      <c r="E26" s="22"/>
      <c r="F26" s="22"/>
      <c r="G26" s="22"/>
      <c r="H26" s="22"/>
      <c r="I26" s="22"/>
    </row>
    <row r="27" spans="2:9" x14ac:dyDescent="0.5">
      <c r="B27" s="22"/>
      <c r="C27" s="22"/>
      <c r="D27" s="26"/>
      <c r="E27" s="22"/>
      <c r="F27" s="22"/>
      <c r="G27" s="22"/>
      <c r="H27" s="22"/>
      <c r="I27" s="22"/>
    </row>
    <row r="28" spans="2:9" x14ac:dyDescent="0.5">
      <c r="B28" s="22"/>
      <c r="C28" s="22"/>
      <c r="D28" s="26"/>
      <c r="E28" s="22"/>
      <c r="F28" s="22"/>
      <c r="G28" s="22"/>
      <c r="H28" s="22"/>
      <c r="I28" s="22"/>
    </row>
    <row r="29" spans="2:9" x14ac:dyDescent="0.5">
      <c r="B29" s="22"/>
      <c r="C29" s="22"/>
      <c r="D29" s="26"/>
      <c r="E29" s="22"/>
      <c r="F29" s="22"/>
      <c r="G29" s="22"/>
      <c r="H29" s="22"/>
      <c r="I29" s="2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127000</xdr:colOff>
                    <xdr:row>0</xdr:row>
                    <xdr:rowOff>262467</xdr:rowOff>
                  </from>
                  <to>
                    <xdr:col>5</xdr:col>
                    <xdr:colOff>283633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E954-0A09-4622-AA38-5639E44A04C3}">
  <sheetPr codeName="Sheet2"/>
  <dimension ref="B2:L54"/>
  <sheetViews>
    <sheetView showGridLines="0" workbookViewId="0">
      <selection activeCell="B4" sqref="B4:K4"/>
    </sheetView>
  </sheetViews>
  <sheetFormatPr defaultColWidth="9.1171875" defaultRowHeight="14.35" x14ac:dyDescent="0.5"/>
  <cols>
    <col min="1" max="1" width="9.1171875" style="1"/>
    <col min="2" max="2" width="19.1171875" style="1" customWidth="1"/>
    <col min="3" max="3" width="13.5859375" style="1" customWidth="1"/>
    <col min="4" max="4" width="14.46875" style="1" customWidth="1"/>
    <col min="5" max="5" width="15.8203125" style="1" customWidth="1"/>
    <col min="6" max="6" width="12.41015625" style="1" customWidth="1"/>
    <col min="7" max="7" width="6.64453125" style="1" customWidth="1"/>
    <col min="8" max="8" width="9.1171875" style="1" customWidth="1"/>
    <col min="9" max="9" width="15.29296875" style="1" bestFit="1" customWidth="1"/>
    <col min="10" max="10" width="16.703125" style="1" bestFit="1" customWidth="1"/>
    <col min="11" max="11" width="10.46875" style="25" customWidth="1"/>
    <col min="12" max="16384" width="9.1171875" style="1"/>
  </cols>
  <sheetData>
    <row r="2" spans="2:12" ht="23.35" x14ac:dyDescent="0.8">
      <c r="B2" s="36" t="s">
        <v>106</v>
      </c>
    </row>
    <row r="4" spans="2:12" x14ac:dyDescent="0.5">
      <c r="B4" s="49" t="s">
        <v>0</v>
      </c>
      <c r="C4" s="49" t="s">
        <v>1</v>
      </c>
      <c r="D4" s="49" t="s">
        <v>2</v>
      </c>
      <c r="E4" s="49" t="s">
        <v>3</v>
      </c>
      <c r="F4" s="49" t="s">
        <v>4</v>
      </c>
      <c r="G4" s="49" t="s">
        <v>5</v>
      </c>
      <c r="H4" s="49" t="s">
        <v>6</v>
      </c>
      <c r="I4" s="49" t="s">
        <v>7</v>
      </c>
      <c r="J4" s="49" t="s">
        <v>8</v>
      </c>
      <c r="K4" s="52" t="s">
        <v>9</v>
      </c>
      <c r="L4" s="33"/>
    </row>
    <row r="5" spans="2:12" x14ac:dyDescent="0.5">
      <c r="B5" s="33">
        <v>1</v>
      </c>
      <c r="C5" s="33" t="s">
        <v>14</v>
      </c>
      <c r="D5" s="33"/>
      <c r="E5" s="33"/>
      <c r="F5" s="33"/>
      <c r="G5" s="33"/>
      <c r="H5" s="33"/>
      <c r="I5" s="33"/>
      <c r="J5" s="33"/>
      <c r="K5" s="34">
        <v>345</v>
      </c>
      <c r="L5" s="33"/>
    </row>
    <row r="6" spans="2:12" x14ac:dyDescent="0.5">
      <c r="B6" s="33">
        <v>4</v>
      </c>
      <c r="C6" s="33" t="s">
        <v>15</v>
      </c>
      <c r="D6" s="33"/>
      <c r="E6" s="33"/>
      <c r="F6" s="33"/>
      <c r="G6" s="33"/>
      <c r="H6" s="33"/>
      <c r="I6" s="33"/>
      <c r="J6" s="33"/>
      <c r="K6" s="34">
        <v>456</v>
      </c>
      <c r="L6" s="33"/>
    </row>
    <row r="7" spans="2:12" x14ac:dyDescent="0.5">
      <c r="B7" s="33">
        <v>5</v>
      </c>
      <c r="C7" s="35" t="s">
        <v>16</v>
      </c>
      <c r="D7" s="33"/>
      <c r="E7" s="33"/>
      <c r="F7" s="33"/>
      <c r="G7" s="33"/>
      <c r="H7" s="33"/>
      <c r="I7" s="33"/>
      <c r="J7" s="33"/>
      <c r="K7" s="34">
        <v>789</v>
      </c>
      <c r="L7" s="33"/>
    </row>
    <row r="8" spans="2:12" x14ac:dyDescent="0.5">
      <c r="B8" s="35" t="s">
        <v>25</v>
      </c>
      <c r="C8" s="33" t="s">
        <v>26</v>
      </c>
      <c r="D8" s="33"/>
      <c r="E8" s="33"/>
      <c r="F8" s="33"/>
      <c r="G8" s="33"/>
      <c r="H8" s="33"/>
      <c r="I8" s="33"/>
      <c r="J8" s="33"/>
      <c r="K8" s="34">
        <v>1234</v>
      </c>
      <c r="L8" s="33"/>
    </row>
    <row r="9" spans="2:12" x14ac:dyDescent="0.5">
      <c r="B9" s="35" t="s">
        <v>89</v>
      </c>
      <c r="C9" s="33" t="s">
        <v>90</v>
      </c>
      <c r="D9" s="33"/>
      <c r="E9" s="33"/>
      <c r="F9" s="33"/>
      <c r="G9" s="33"/>
      <c r="H9" s="33"/>
      <c r="I9" s="33"/>
      <c r="J9" s="33"/>
      <c r="K9" s="34">
        <v>123</v>
      </c>
      <c r="L9" s="33"/>
    </row>
    <row r="10" spans="2:12" x14ac:dyDescent="0.5">
      <c r="B10" s="33" t="s">
        <v>89</v>
      </c>
      <c r="C10" s="33" t="s">
        <v>90</v>
      </c>
      <c r="D10" s="33"/>
      <c r="E10" s="33"/>
      <c r="F10" s="33"/>
      <c r="G10" s="33"/>
      <c r="H10" s="33"/>
      <c r="I10" s="33"/>
      <c r="J10" s="33"/>
      <c r="K10" s="34">
        <v>123</v>
      </c>
      <c r="L10" s="33"/>
    </row>
    <row r="11" spans="2:12" x14ac:dyDescent="0.5">
      <c r="B11" s="33" t="s">
        <v>102</v>
      </c>
      <c r="C11" s="33" t="s">
        <v>103</v>
      </c>
      <c r="D11" s="33"/>
      <c r="E11" s="33"/>
      <c r="F11" s="33"/>
      <c r="G11" s="33"/>
      <c r="H11" s="33"/>
      <c r="I11" s="33">
        <v>234</v>
      </c>
      <c r="J11" s="33">
        <v>2</v>
      </c>
      <c r="K11" s="34">
        <v>3</v>
      </c>
      <c r="L11" s="33"/>
    </row>
    <row r="12" spans="2:12" x14ac:dyDescent="0.5">
      <c r="B12" s="33"/>
      <c r="C12" s="33"/>
      <c r="D12" s="33"/>
      <c r="E12" s="33"/>
      <c r="F12" s="33"/>
      <c r="G12" s="33"/>
      <c r="H12" s="33"/>
      <c r="I12" s="33"/>
      <c r="J12" s="33"/>
      <c r="K12" s="34"/>
      <c r="L12" s="33"/>
    </row>
    <row r="13" spans="2:12" x14ac:dyDescent="0.5">
      <c r="B13" s="33"/>
      <c r="C13" s="33"/>
      <c r="D13" s="33"/>
      <c r="E13" s="33"/>
      <c r="F13" s="33"/>
      <c r="G13" s="33"/>
      <c r="H13" s="33"/>
      <c r="I13" s="33"/>
      <c r="J13" s="33"/>
      <c r="K13" s="34"/>
      <c r="L13" s="33"/>
    </row>
    <row r="14" spans="2:12" x14ac:dyDescent="0.5">
      <c r="B14" s="33"/>
      <c r="C14" s="33"/>
      <c r="D14" s="33"/>
      <c r="E14" s="33"/>
      <c r="F14" s="33"/>
      <c r="G14" s="33"/>
      <c r="H14" s="33"/>
      <c r="I14" s="33"/>
      <c r="J14" s="33"/>
      <c r="K14" s="34"/>
      <c r="L14" s="33"/>
    </row>
    <row r="15" spans="2:12" x14ac:dyDescent="0.5">
      <c r="B15" s="33"/>
      <c r="C15" s="33"/>
      <c r="D15" s="33"/>
      <c r="E15" s="33"/>
      <c r="F15" s="33"/>
      <c r="G15" s="33"/>
      <c r="H15" s="33"/>
      <c r="I15" s="33"/>
      <c r="J15" s="33"/>
      <c r="K15" s="34"/>
      <c r="L15" s="33"/>
    </row>
    <row r="16" spans="2:12" x14ac:dyDescent="0.5">
      <c r="B16" s="33"/>
      <c r="C16" s="33"/>
      <c r="D16" s="33"/>
      <c r="E16" s="33"/>
      <c r="F16" s="33"/>
      <c r="G16" s="33"/>
      <c r="H16" s="33"/>
      <c r="I16" s="33"/>
      <c r="J16" s="33"/>
      <c r="K16" s="34"/>
      <c r="L16" s="33"/>
    </row>
    <row r="17" spans="2:12" x14ac:dyDescent="0.5">
      <c r="B17" s="33"/>
      <c r="C17" s="33"/>
      <c r="D17" s="33"/>
      <c r="E17" s="33"/>
      <c r="F17" s="33"/>
      <c r="G17" s="33"/>
      <c r="H17" s="33"/>
      <c r="I17" s="33"/>
      <c r="J17" s="33"/>
      <c r="K17" s="34"/>
      <c r="L17" s="33"/>
    </row>
    <row r="18" spans="2:12" x14ac:dyDescent="0.5">
      <c r="B18" s="33"/>
      <c r="C18" s="33"/>
      <c r="D18" s="33"/>
      <c r="E18" s="33"/>
      <c r="F18" s="33"/>
      <c r="G18" s="33"/>
      <c r="H18" s="33"/>
      <c r="I18" s="33"/>
      <c r="J18" s="33"/>
      <c r="K18" s="34"/>
      <c r="L18" s="33"/>
    </row>
    <row r="19" spans="2:12" x14ac:dyDescent="0.5">
      <c r="B19" s="33"/>
      <c r="C19" s="33"/>
      <c r="D19" s="33"/>
      <c r="E19" s="33"/>
      <c r="F19" s="33"/>
      <c r="G19" s="33"/>
      <c r="H19" s="33"/>
      <c r="I19" s="33"/>
      <c r="J19" s="33"/>
      <c r="K19" s="34"/>
      <c r="L19" s="33"/>
    </row>
    <row r="20" spans="2:12" x14ac:dyDescent="0.5">
      <c r="B20" s="33"/>
      <c r="C20" s="33"/>
      <c r="D20" s="33"/>
      <c r="E20" s="33"/>
      <c r="F20" s="33"/>
      <c r="G20" s="33"/>
      <c r="H20" s="33"/>
      <c r="I20" s="33"/>
      <c r="J20" s="33"/>
      <c r="K20" s="34"/>
      <c r="L20" s="33"/>
    </row>
    <row r="21" spans="2:12" x14ac:dyDescent="0.5">
      <c r="B21" s="33"/>
      <c r="C21" s="33"/>
      <c r="D21" s="33"/>
      <c r="E21" s="33"/>
      <c r="F21" s="33"/>
      <c r="G21" s="33"/>
      <c r="H21" s="33"/>
      <c r="I21" s="33"/>
      <c r="J21" s="33"/>
      <c r="K21" s="34"/>
      <c r="L21" s="33"/>
    </row>
    <row r="22" spans="2:12" x14ac:dyDescent="0.5">
      <c r="B22" s="33"/>
      <c r="C22" s="33"/>
      <c r="D22" s="33"/>
      <c r="E22" s="33"/>
      <c r="F22" s="33"/>
      <c r="G22" s="33"/>
      <c r="H22" s="33"/>
      <c r="I22" s="33"/>
      <c r="J22" s="33"/>
      <c r="K22" s="34"/>
      <c r="L22" s="33"/>
    </row>
    <row r="23" spans="2:12" x14ac:dyDescent="0.5">
      <c r="B23" s="33"/>
      <c r="C23" s="33"/>
      <c r="D23" s="33"/>
      <c r="E23" s="33"/>
      <c r="F23" s="33"/>
      <c r="G23" s="33"/>
      <c r="H23" s="33"/>
      <c r="I23" s="33"/>
      <c r="J23" s="33"/>
      <c r="K23" s="34"/>
      <c r="L23" s="33"/>
    </row>
    <row r="24" spans="2:12" x14ac:dyDescent="0.5">
      <c r="B24" s="33"/>
      <c r="C24" s="33"/>
      <c r="D24" s="33"/>
      <c r="E24" s="33"/>
      <c r="F24" s="33"/>
      <c r="G24" s="33"/>
      <c r="H24" s="33"/>
      <c r="I24" s="33"/>
      <c r="J24" s="33"/>
      <c r="K24" s="34"/>
      <c r="L24" s="33"/>
    </row>
    <row r="25" spans="2:12" x14ac:dyDescent="0.5">
      <c r="B25" s="33"/>
      <c r="C25" s="33"/>
      <c r="D25" s="33"/>
      <c r="E25" s="33"/>
      <c r="F25" s="33"/>
      <c r="G25" s="33"/>
      <c r="H25" s="33"/>
      <c r="I25" s="33"/>
      <c r="J25" s="33"/>
      <c r="K25" s="34"/>
      <c r="L25" s="33"/>
    </row>
    <row r="26" spans="2:12" x14ac:dyDescent="0.5">
      <c r="B26" s="33"/>
      <c r="C26" s="33"/>
      <c r="D26" s="33"/>
      <c r="E26" s="33"/>
      <c r="F26" s="33"/>
      <c r="G26" s="33"/>
      <c r="H26" s="33"/>
      <c r="I26" s="33"/>
      <c r="J26" s="33"/>
      <c r="K26" s="34"/>
      <c r="L26" s="33"/>
    </row>
    <row r="27" spans="2:12" x14ac:dyDescent="0.5">
      <c r="B27" s="33"/>
      <c r="C27" s="33"/>
      <c r="D27" s="33"/>
      <c r="E27" s="33"/>
      <c r="F27" s="33"/>
      <c r="G27" s="33"/>
      <c r="H27" s="33"/>
      <c r="I27" s="33"/>
      <c r="J27" s="33"/>
      <c r="K27" s="34"/>
      <c r="L27" s="33"/>
    </row>
    <row r="28" spans="2:12" x14ac:dyDescent="0.5">
      <c r="B28" s="33"/>
      <c r="C28" s="33"/>
      <c r="D28" s="33"/>
      <c r="E28" s="33"/>
      <c r="F28" s="33"/>
      <c r="G28" s="33"/>
      <c r="H28" s="33"/>
      <c r="I28" s="33"/>
      <c r="J28" s="33"/>
      <c r="K28" s="34"/>
      <c r="L28" s="33"/>
    </row>
    <row r="29" spans="2:12" x14ac:dyDescent="0.5">
      <c r="B29" s="33"/>
      <c r="C29" s="33"/>
      <c r="D29" s="33"/>
      <c r="E29" s="33"/>
      <c r="F29" s="33"/>
      <c r="G29" s="33"/>
      <c r="H29" s="33"/>
      <c r="I29" s="33"/>
      <c r="J29" s="33"/>
      <c r="K29" s="34"/>
      <c r="L29" s="33"/>
    </row>
    <row r="30" spans="2:12" x14ac:dyDescent="0.5">
      <c r="B30" s="33"/>
      <c r="C30" s="33"/>
      <c r="D30" s="33"/>
      <c r="E30" s="33"/>
      <c r="F30" s="33"/>
      <c r="G30" s="33"/>
      <c r="H30" s="33"/>
      <c r="I30" s="33"/>
      <c r="J30" s="33"/>
      <c r="K30" s="34"/>
      <c r="L30" s="33"/>
    </row>
    <row r="31" spans="2:12" x14ac:dyDescent="0.5">
      <c r="B31" s="33"/>
      <c r="C31" s="33"/>
      <c r="D31" s="33"/>
      <c r="E31" s="33"/>
      <c r="F31" s="33"/>
      <c r="G31" s="33"/>
      <c r="H31" s="33"/>
      <c r="I31" s="33"/>
      <c r="J31" s="33"/>
      <c r="K31" s="34"/>
      <c r="L31" s="33"/>
    </row>
    <row r="32" spans="2:12" x14ac:dyDescent="0.5">
      <c r="B32" s="33"/>
      <c r="C32" s="33"/>
      <c r="D32" s="33"/>
      <c r="E32" s="33"/>
      <c r="F32" s="33"/>
      <c r="G32" s="33"/>
      <c r="H32" s="33"/>
      <c r="I32" s="33"/>
      <c r="J32" s="33"/>
      <c r="K32" s="34"/>
      <c r="L32" s="33"/>
    </row>
    <row r="33" spans="2:12" x14ac:dyDescent="0.5">
      <c r="B33" s="33"/>
      <c r="C33" s="33"/>
      <c r="D33" s="33"/>
      <c r="E33" s="33"/>
      <c r="F33" s="33"/>
      <c r="G33" s="33"/>
      <c r="H33" s="33"/>
      <c r="I33" s="33"/>
      <c r="J33" s="33"/>
      <c r="K33" s="34"/>
      <c r="L33" s="33"/>
    </row>
    <row r="34" spans="2:12" x14ac:dyDescent="0.5">
      <c r="B34" s="33"/>
      <c r="C34" s="33"/>
      <c r="D34" s="33"/>
      <c r="E34" s="33"/>
      <c r="F34" s="33"/>
      <c r="G34" s="33"/>
      <c r="H34" s="33"/>
      <c r="I34" s="33"/>
      <c r="J34" s="33"/>
      <c r="K34" s="34"/>
      <c r="L34" s="33"/>
    </row>
    <row r="35" spans="2:12" x14ac:dyDescent="0.5">
      <c r="B35" s="33"/>
      <c r="C35" s="33"/>
      <c r="D35" s="33"/>
      <c r="E35" s="33"/>
      <c r="F35" s="33"/>
      <c r="G35" s="33"/>
      <c r="H35" s="33"/>
      <c r="I35" s="33"/>
      <c r="J35" s="33"/>
      <c r="K35" s="34"/>
      <c r="L35" s="33"/>
    </row>
    <row r="36" spans="2:12" x14ac:dyDescent="0.5">
      <c r="B36" s="33"/>
      <c r="C36" s="33"/>
      <c r="D36" s="33"/>
      <c r="E36" s="33"/>
      <c r="F36" s="33"/>
      <c r="G36" s="33"/>
      <c r="H36" s="33"/>
      <c r="I36" s="33"/>
      <c r="J36" s="33"/>
      <c r="K36" s="34"/>
      <c r="L36" s="33"/>
    </row>
    <row r="37" spans="2:12" x14ac:dyDescent="0.5">
      <c r="B37" s="33"/>
      <c r="C37" s="33"/>
      <c r="D37" s="33"/>
      <c r="E37" s="33"/>
      <c r="F37" s="33"/>
      <c r="G37" s="33"/>
      <c r="H37" s="33"/>
      <c r="I37" s="33"/>
      <c r="J37" s="33"/>
      <c r="K37" s="34"/>
      <c r="L37" s="33"/>
    </row>
    <row r="38" spans="2:12" x14ac:dyDescent="0.5">
      <c r="B38" s="33"/>
      <c r="C38" s="33"/>
      <c r="D38" s="33"/>
      <c r="E38" s="33"/>
      <c r="F38" s="33"/>
      <c r="G38" s="33"/>
      <c r="H38" s="33"/>
      <c r="I38" s="33"/>
      <c r="J38" s="33"/>
      <c r="K38" s="34"/>
      <c r="L38" s="33"/>
    </row>
    <row r="39" spans="2:12" x14ac:dyDescent="0.5">
      <c r="B39" s="33"/>
      <c r="C39" s="33"/>
      <c r="D39" s="33"/>
      <c r="E39" s="33"/>
      <c r="F39" s="33"/>
      <c r="G39" s="33"/>
      <c r="H39" s="33"/>
      <c r="I39" s="33"/>
      <c r="J39" s="33"/>
      <c r="K39" s="34"/>
      <c r="L39" s="33"/>
    </row>
    <row r="40" spans="2:12" x14ac:dyDescent="0.5">
      <c r="B40" s="33"/>
      <c r="C40" s="33"/>
      <c r="D40" s="33"/>
      <c r="E40" s="33"/>
      <c r="F40" s="33"/>
      <c r="G40" s="33"/>
      <c r="H40" s="33"/>
      <c r="I40" s="33"/>
      <c r="J40" s="33"/>
      <c r="K40" s="34"/>
      <c r="L40" s="33"/>
    </row>
    <row r="41" spans="2:12" x14ac:dyDescent="0.5">
      <c r="B41" s="33"/>
      <c r="C41" s="33"/>
      <c r="D41" s="33"/>
      <c r="E41" s="33"/>
      <c r="F41" s="33"/>
      <c r="G41" s="33"/>
      <c r="H41" s="33"/>
      <c r="I41" s="33"/>
      <c r="J41" s="33"/>
      <c r="K41" s="34"/>
      <c r="L41" s="33"/>
    </row>
    <row r="42" spans="2:12" x14ac:dyDescent="0.5">
      <c r="B42" s="33"/>
      <c r="C42" s="33"/>
      <c r="D42" s="33"/>
      <c r="E42" s="33"/>
      <c r="F42" s="33"/>
      <c r="G42" s="33"/>
      <c r="H42" s="33"/>
      <c r="I42" s="33"/>
      <c r="J42" s="33"/>
      <c r="K42" s="34"/>
      <c r="L42" s="33"/>
    </row>
    <row r="43" spans="2:12" x14ac:dyDescent="0.5">
      <c r="B43" s="33"/>
      <c r="C43" s="33"/>
      <c r="D43" s="33"/>
      <c r="E43" s="33"/>
      <c r="F43" s="33"/>
      <c r="G43" s="33"/>
      <c r="H43" s="33"/>
      <c r="I43" s="33"/>
      <c r="J43" s="33"/>
      <c r="K43" s="34"/>
      <c r="L43" s="33"/>
    </row>
    <row r="44" spans="2:12" x14ac:dyDescent="0.5">
      <c r="B44" s="33"/>
      <c r="C44" s="33"/>
      <c r="D44" s="33"/>
      <c r="E44" s="33"/>
      <c r="F44" s="33"/>
      <c r="G44" s="33"/>
      <c r="H44" s="33"/>
      <c r="I44" s="33"/>
      <c r="J44" s="33"/>
      <c r="K44" s="34"/>
      <c r="L44" s="33"/>
    </row>
    <row r="45" spans="2:12" x14ac:dyDescent="0.5">
      <c r="B45" s="33"/>
      <c r="C45" s="33"/>
      <c r="D45" s="33"/>
      <c r="E45" s="33"/>
      <c r="F45" s="33"/>
      <c r="G45" s="33"/>
      <c r="H45" s="33"/>
      <c r="I45" s="33"/>
      <c r="J45" s="33"/>
      <c r="K45" s="34"/>
      <c r="L45" s="33"/>
    </row>
    <row r="46" spans="2:12" x14ac:dyDescent="0.5">
      <c r="B46" s="33"/>
      <c r="C46" s="33"/>
      <c r="D46" s="33"/>
      <c r="E46" s="33"/>
      <c r="F46" s="33"/>
      <c r="G46" s="33"/>
      <c r="H46" s="33"/>
      <c r="I46" s="33"/>
      <c r="J46" s="33"/>
      <c r="K46" s="34"/>
      <c r="L46" s="33"/>
    </row>
    <row r="47" spans="2:12" x14ac:dyDescent="0.5">
      <c r="B47" s="33"/>
      <c r="C47" s="33"/>
      <c r="D47" s="33"/>
      <c r="E47" s="33"/>
      <c r="F47" s="33"/>
      <c r="G47" s="33"/>
      <c r="H47" s="33"/>
      <c r="I47" s="33"/>
      <c r="J47" s="33"/>
      <c r="K47" s="34"/>
      <c r="L47" s="33"/>
    </row>
    <row r="48" spans="2:12" x14ac:dyDescent="0.5">
      <c r="B48" s="33"/>
      <c r="C48" s="33"/>
      <c r="D48" s="33"/>
      <c r="E48" s="33"/>
      <c r="F48" s="33"/>
      <c r="G48" s="33"/>
      <c r="H48" s="33"/>
      <c r="I48" s="33"/>
      <c r="J48" s="33"/>
      <c r="K48" s="34"/>
      <c r="L48" s="33"/>
    </row>
    <row r="49" spans="2:12" x14ac:dyDescent="0.5">
      <c r="B49" s="33"/>
      <c r="C49" s="33"/>
      <c r="D49" s="33"/>
      <c r="E49" s="33"/>
      <c r="F49" s="33"/>
      <c r="G49" s="33"/>
      <c r="H49" s="33"/>
      <c r="I49" s="33"/>
      <c r="J49" s="33"/>
      <c r="K49" s="34"/>
      <c r="L49" s="33"/>
    </row>
    <row r="50" spans="2:12" x14ac:dyDescent="0.5">
      <c r="B50" s="33"/>
      <c r="C50" s="33"/>
      <c r="D50" s="33"/>
      <c r="E50" s="33"/>
      <c r="F50" s="33"/>
      <c r="G50" s="33"/>
      <c r="H50" s="33"/>
      <c r="I50" s="33"/>
      <c r="J50" s="33"/>
      <c r="K50" s="34"/>
      <c r="L50" s="33"/>
    </row>
    <row r="51" spans="2:12" x14ac:dyDescent="0.5">
      <c r="B51" s="33"/>
      <c r="C51" s="33"/>
      <c r="D51" s="33"/>
      <c r="E51" s="33"/>
      <c r="F51" s="33"/>
      <c r="G51" s="33"/>
      <c r="H51" s="33"/>
      <c r="I51" s="33"/>
      <c r="J51" s="33"/>
      <c r="K51" s="34"/>
      <c r="L51" s="33"/>
    </row>
    <row r="52" spans="2:12" x14ac:dyDescent="0.5">
      <c r="B52" s="33"/>
      <c r="C52" s="33"/>
      <c r="D52" s="33"/>
      <c r="E52" s="33"/>
      <c r="F52" s="33"/>
      <c r="G52" s="33"/>
      <c r="H52" s="33"/>
      <c r="I52" s="33"/>
      <c r="J52" s="33"/>
      <c r="K52" s="34"/>
      <c r="L52" s="33"/>
    </row>
    <row r="53" spans="2:12" x14ac:dyDescent="0.5">
      <c r="B53" s="33"/>
      <c r="C53" s="33"/>
      <c r="D53" s="33"/>
      <c r="E53" s="33"/>
      <c r="F53" s="33"/>
      <c r="G53" s="33"/>
      <c r="H53" s="33"/>
      <c r="I53" s="33"/>
      <c r="J53" s="33"/>
      <c r="K53" s="34"/>
      <c r="L53" s="33"/>
    </row>
    <row r="54" spans="2:12" x14ac:dyDescent="0.5">
      <c r="B54" s="33"/>
      <c r="C54" s="33"/>
      <c r="D54" s="33"/>
      <c r="E54" s="33"/>
      <c r="F54" s="33"/>
      <c r="G54" s="33"/>
      <c r="H54" s="33"/>
      <c r="I54" s="33"/>
      <c r="J54" s="33"/>
      <c r="K54" s="34"/>
      <c r="L54" s="33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MainMenu_Click">
                <anchor moveWithCells="1" sizeWithCells="1">
                  <from>
                    <xdr:col>4</xdr:col>
                    <xdr:colOff>423333</xdr:colOff>
                    <xdr:row>0</xdr:row>
                    <xdr:rowOff>173567</xdr:rowOff>
                  </from>
                  <to>
                    <xdr:col>5</xdr:col>
                    <xdr:colOff>635000</xdr:colOff>
                    <xdr:row>2</xdr:row>
                    <xdr:rowOff>29633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CCCE1-95D0-4E71-9DAB-5090C60E3F0C}">
  <sheetPr codeName="Sheet5"/>
  <dimension ref="B2:I11"/>
  <sheetViews>
    <sheetView showGridLines="0" workbookViewId="0">
      <selection activeCell="B6" sqref="B6:E6"/>
    </sheetView>
  </sheetViews>
  <sheetFormatPr defaultRowHeight="14.35" x14ac:dyDescent="0.5"/>
  <cols>
    <col min="2" max="2" width="24.17578125" style="22" bestFit="1" customWidth="1"/>
    <col min="3" max="3" width="14.703125" style="22" customWidth="1"/>
    <col min="4" max="4" width="13.703125" style="26" customWidth="1"/>
    <col min="5" max="5" width="14.52734375" style="26" bestFit="1" customWidth="1"/>
    <col min="7" max="7" width="18.3515625" bestFit="1" customWidth="1"/>
  </cols>
  <sheetData>
    <row r="2" spans="2:9" ht="23.35" x14ac:dyDescent="0.5">
      <c r="B2" s="21" t="s">
        <v>109</v>
      </c>
    </row>
    <row r="3" spans="2:9" x14ac:dyDescent="0.5">
      <c r="B3" s="33"/>
      <c r="C3" s="33"/>
      <c r="D3" s="34"/>
      <c r="E3" s="34"/>
      <c r="F3" s="1"/>
      <c r="G3" s="1"/>
      <c r="H3" s="1"/>
      <c r="I3" s="1"/>
    </row>
    <row r="4" spans="2:9" ht="14.7" thickBot="1" x14ac:dyDescent="0.55000000000000004">
      <c r="B4" s="33"/>
      <c r="C4" s="33"/>
      <c r="D4" s="34"/>
      <c r="E4" s="34"/>
      <c r="F4" s="1"/>
      <c r="G4" s="1"/>
      <c r="H4" s="1"/>
      <c r="I4" s="1"/>
    </row>
    <row r="5" spans="2:9" x14ac:dyDescent="0.5">
      <c r="B5" s="33"/>
      <c r="C5" s="33"/>
      <c r="D5" s="34"/>
      <c r="E5" s="34"/>
      <c r="F5" s="1"/>
      <c r="G5" s="2" t="s">
        <v>21</v>
      </c>
      <c r="H5" s="3">
        <f>SUM(D7:D100000)</f>
        <v>0</v>
      </c>
      <c r="I5" s="1"/>
    </row>
    <row r="6" spans="2:9" ht="14.7" thickBot="1" x14ac:dyDescent="0.55000000000000004">
      <c r="B6" s="49" t="s">
        <v>17</v>
      </c>
      <c r="C6" s="49" t="s">
        <v>18</v>
      </c>
      <c r="D6" s="52" t="s">
        <v>19</v>
      </c>
      <c r="E6" s="52" t="s">
        <v>20</v>
      </c>
      <c r="F6" s="1"/>
      <c r="G6" s="4" t="s">
        <v>22</v>
      </c>
      <c r="H6" s="5">
        <f>SUM(E7:E100000)</f>
        <v>2591</v>
      </c>
      <c r="I6" s="1"/>
    </row>
    <row r="7" spans="2:9" x14ac:dyDescent="0.5">
      <c r="B7" s="22" t="s">
        <v>23</v>
      </c>
      <c r="C7" s="22" t="s">
        <v>27</v>
      </c>
      <c r="E7" s="26">
        <v>1234</v>
      </c>
    </row>
    <row r="8" spans="2:9" x14ac:dyDescent="0.5">
      <c r="B8" s="22" t="s">
        <v>91</v>
      </c>
      <c r="C8" s="22" t="s">
        <v>24</v>
      </c>
    </row>
    <row r="9" spans="2:9" x14ac:dyDescent="0.5">
      <c r="B9" s="22" t="s">
        <v>99</v>
      </c>
      <c r="C9" s="22" t="s">
        <v>24</v>
      </c>
    </row>
    <row r="10" spans="2:9" x14ac:dyDescent="0.5">
      <c r="B10" s="22" t="s">
        <v>99</v>
      </c>
      <c r="C10" s="22" t="s">
        <v>27</v>
      </c>
      <c r="E10" s="26">
        <v>1234</v>
      </c>
    </row>
    <row r="11" spans="2:9" x14ac:dyDescent="0.5">
      <c r="B11" s="22" t="s">
        <v>99</v>
      </c>
      <c r="C11" s="22" t="s">
        <v>100</v>
      </c>
      <c r="E11" s="26">
        <v>123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702733</xdr:colOff>
                    <xdr:row>1</xdr:row>
                    <xdr:rowOff>0</xdr:rowOff>
                  </from>
                  <to>
                    <xdr:col>5</xdr:col>
                    <xdr:colOff>50800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9B43E-4A36-4149-BE4B-A95FE0B6E3CA}">
  <sheetPr codeName="Sheet6"/>
  <dimension ref="B2:D22"/>
  <sheetViews>
    <sheetView showGridLines="0" workbookViewId="0">
      <selection activeCell="F13" sqref="F13"/>
    </sheetView>
  </sheetViews>
  <sheetFormatPr defaultRowHeight="14.35" x14ac:dyDescent="0.5"/>
  <cols>
    <col min="3" max="3" width="20.41015625" customWidth="1"/>
    <col min="4" max="4" width="14.8203125" style="24" customWidth="1"/>
  </cols>
  <sheetData>
    <row r="2" spans="2:4" ht="23.35" x14ac:dyDescent="0.8">
      <c r="B2" s="37" t="s">
        <v>41</v>
      </c>
    </row>
    <row r="4" spans="2:4" ht="14.7" thickBot="1" x14ac:dyDescent="0.55000000000000004"/>
    <row r="5" spans="2:4" ht="14.7" thickBot="1" x14ac:dyDescent="0.55000000000000004">
      <c r="C5" s="53" t="s">
        <v>41</v>
      </c>
      <c r="D5" s="27"/>
    </row>
    <row r="6" spans="2:4" x14ac:dyDescent="0.5">
      <c r="C6" s="6" t="s">
        <v>28</v>
      </c>
      <c r="D6" s="38">
        <v>52412.5</v>
      </c>
    </row>
    <row r="7" spans="2:4" x14ac:dyDescent="0.5">
      <c r="C7" s="6" t="s">
        <v>29</v>
      </c>
      <c r="D7" s="38">
        <v>16143.1</v>
      </c>
    </row>
    <row r="8" spans="2:4" x14ac:dyDescent="0.5">
      <c r="C8" s="9" t="s">
        <v>30</v>
      </c>
      <c r="D8" s="47">
        <f>D6 - D7</f>
        <v>36269.4</v>
      </c>
    </row>
    <row r="9" spans="2:4" x14ac:dyDescent="0.5">
      <c r="C9" s="6"/>
      <c r="D9" s="38"/>
    </row>
    <row r="10" spans="2:4" x14ac:dyDescent="0.5">
      <c r="C10" s="6" t="s">
        <v>31</v>
      </c>
      <c r="D10" s="38"/>
    </row>
    <row r="11" spans="2:4" x14ac:dyDescent="0.5">
      <c r="C11" s="6" t="s">
        <v>32</v>
      </c>
      <c r="D11" s="38">
        <v>0</v>
      </c>
    </row>
    <row r="12" spans="2:4" x14ac:dyDescent="0.5">
      <c r="C12" s="6" t="s">
        <v>33</v>
      </c>
      <c r="D12" s="38">
        <v>2591</v>
      </c>
    </row>
    <row r="13" spans="2:4" x14ac:dyDescent="0.5">
      <c r="C13" s="6" t="s">
        <v>34</v>
      </c>
      <c r="D13" s="38">
        <v>1250</v>
      </c>
    </row>
    <row r="14" spans="2:4" x14ac:dyDescent="0.5">
      <c r="C14" s="9" t="s">
        <v>35</v>
      </c>
      <c r="D14" s="38">
        <v>13750</v>
      </c>
    </row>
    <row r="15" spans="2:4" x14ac:dyDescent="0.5">
      <c r="C15" s="6"/>
      <c r="D15" s="38"/>
    </row>
    <row r="16" spans="2:4" x14ac:dyDescent="0.5">
      <c r="C16" s="6"/>
      <c r="D16" s="38"/>
    </row>
    <row r="17" spans="3:4" x14ac:dyDescent="0.5">
      <c r="C17" s="9" t="s">
        <v>36</v>
      </c>
      <c r="D17" s="38">
        <v>24375</v>
      </c>
    </row>
    <row r="18" spans="3:4" x14ac:dyDescent="0.5">
      <c r="C18" s="6" t="s">
        <v>37</v>
      </c>
      <c r="D18" s="38"/>
    </row>
    <row r="19" spans="3:4" x14ac:dyDescent="0.5">
      <c r="C19" s="6" t="s">
        <v>38</v>
      </c>
      <c r="D19" s="38">
        <f>D8-D17</f>
        <v>11894.400000000001</v>
      </c>
    </row>
    <row r="20" spans="3:4" x14ac:dyDescent="0.5">
      <c r="C20" s="6" t="s">
        <v>39</v>
      </c>
      <c r="D20" s="38">
        <f xml:space="preserve"> 0.2 *D19</f>
        <v>2378.8800000000006</v>
      </c>
    </row>
    <row r="21" spans="3:4" ht="14.7" thickBot="1" x14ac:dyDescent="0.55000000000000004">
      <c r="C21" s="4" t="s">
        <v>40</v>
      </c>
      <c r="D21" s="48">
        <f xml:space="preserve"> D19 - D20</f>
        <v>9515.52</v>
      </c>
    </row>
    <row r="22" spans="3:4" x14ac:dyDescent="0.5">
      <c r="C22" s="10"/>
      <c r="D22" s="25"/>
    </row>
  </sheetData>
  <mergeCells count="1">
    <mergeCell ref="C5: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97367</xdr:colOff>
                    <xdr:row>0</xdr:row>
                    <xdr:rowOff>169333</xdr:rowOff>
                  </from>
                  <to>
                    <xdr:col>4</xdr:col>
                    <xdr:colOff>300567</xdr:colOff>
                    <xdr:row>2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955-E52C-47FE-A2F8-EFDF126C48E4}">
  <sheetPr codeName="Sheet7"/>
  <dimension ref="B2:G22"/>
  <sheetViews>
    <sheetView showGridLines="0" workbookViewId="0">
      <selection activeCell="F4" sqref="F4:G4"/>
    </sheetView>
  </sheetViews>
  <sheetFormatPr defaultRowHeight="14.35" x14ac:dyDescent="0.5"/>
  <cols>
    <col min="4" max="4" width="16.41015625" bestFit="1" customWidth="1"/>
    <col min="5" max="5" width="19.46875" style="26" customWidth="1"/>
    <col min="6" max="6" width="28.52734375" style="22" customWidth="1"/>
    <col min="7" max="7" width="26.234375" style="26" customWidth="1"/>
  </cols>
  <sheetData>
    <row r="2" spans="2:7" ht="23.35" x14ac:dyDescent="0.8">
      <c r="B2" s="37" t="s">
        <v>112</v>
      </c>
    </row>
    <row r="3" spans="2:7" ht="14.7" thickBot="1" x14ac:dyDescent="0.55000000000000004"/>
    <row r="4" spans="2:7" x14ac:dyDescent="0.5">
      <c r="D4" s="54" t="s">
        <v>58</v>
      </c>
      <c r="E4" s="28"/>
      <c r="F4" s="55" t="s">
        <v>59</v>
      </c>
      <c r="G4" s="29"/>
    </row>
    <row r="5" spans="2:7" x14ac:dyDescent="0.5">
      <c r="D5" s="11"/>
      <c r="E5" s="39"/>
      <c r="F5" s="35"/>
      <c r="G5" s="41"/>
    </row>
    <row r="6" spans="2:7" x14ac:dyDescent="0.5">
      <c r="D6" s="6" t="s">
        <v>42</v>
      </c>
      <c r="E6" s="34">
        <v>195397.5</v>
      </c>
      <c r="F6" s="33" t="s">
        <v>51</v>
      </c>
      <c r="G6" s="42"/>
    </row>
    <row r="7" spans="2:7" x14ac:dyDescent="0.5">
      <c r="D7" s="6" t="s">
        <v>43</v>
      </c>
      <c r="E7" s="34"/>
      <c r="F7" s="33" t="s">
        <v>52</v>
      </c>
      <c r="G7" s="42"/>
    </row>
    <row r="8" spans="2:7" x14ac:dyDescent="0.5">
      <c r="D8" s="23" t="s">
        <v>44</v>
      </c>
      <c r="E8" s="34">
        <v>23247</v>
      </c>
      <c r="F8" s="44" t="s">
        <v>53</v>
      </c>
      <c r="G8" s="42"/>
    </row>
    <row r="9" spans="2:7" x14ac:dyDescent="0.5">
      <c r="D9" s="6" t="s">
        <v>45</v>
      </c>
      <c r="E9" s="34">
        <f>SUM(E6:E8)</f>
        <v>218644.5</v>
      </c>
      <c r="F9" s="45" t="s">
        <v>54</v>
      </c>
      <c r="G9" s="42"/>
    </row>
    <row r="10" spans="2:7" x14ac:dyDescent="0.5">
      <c r="D10" s="6"/>
      <c r="E10" s="34"/>
      <c r="F10" s="33"/>
      <c r="G10" s="42"/>
    </row>
    <row r="11" spans="2:7" x14ac:dyDescent="0.5">
      <c r="D11" s="6" t="s">
        <v>46</v>
      </c>
      <c r="E11" s="34"/>
      <c r="F11" s="33" t="s">
        <v>55</v>
      </c>
      <c r="G11" s="42"/>
    </row>
    <row r="12" spans="2:7" x14ac:dyDescent="0.5">
      <c r="D12" s="6" t="s">
        <v>47</v>
      </c>
      <c r="E12" s="34"/>
      <c r="F12" s="45" t="s">
        <v>56</v>
      </c>
      <c r="G12" s="42">
        <f>G11</f>
        <v>0</v>
      </c>
    </row>
    <row r="13" spans="2:7" x14ac:dyDescent="0.5">
      <c r="D13" s="6" t="s">
        <v>48</v>
      </c>
      <c r="E13" s="34"/>
      <c r="F13" s="33"/>
      <c r="G13" s="42"/>
    </row>
    <row r="14" spans="2:7" x14ac:dyDescent="0.5">
      <c r="D14" s="9" t="s">
        <v>50</v>
      </c>
      <c r="E14" s="34">
        <f>SUM(E11:E13)</f>
        <v>0</v>
      </c>
      <c r="F14" s="45" t="s">
        <v>57</v>
      </c>
      <c r="G14" s="42">
        <f>G12+G9</f>
        <v>0</v>
      </c>
    </row>
    <row r="15" spans="2:7" x14ac:dyDescent="0.5">
      <c r="D15" s="6"/>
      <c r="E15" s="34"/>
      <c r="F15" s="33"/>
      <c r="G15" s="42"/>
    </row>
    <row r="16" spans="2:7" x14ac:dyDescent="0.5">
      <c r="D16" s="6"/>
      <c r="E16" s="34"/>
      <c r="F16" s="44" t="s">
        <v>96</v>
      </c>
      <c r="G16" s="42"/>
    </row>
    <row r="17" spans="4:7" x14ac:dyDescent="0.5">
      <c r="D17" s="9" t="s">
        <v>49</v>
      </c>
      <c r="E17" s="34">
        <f xml:space="preserve"> E14+E9</f>
        <v>218644.5</v>
      </c>
      <c r="F17" s="45" t="s">
        <v>30</v>
      </c>
      <c r="G17" s="42"/>
    </row>
    <row r="18" spans="4:7" x14ac:dyDescent="0.5">
      <c r="D18" s="6"/>
      <c r="E18" s="34"/>
      <c r="F18" s="45" t="s">
        <v>97</v>
      </c>
      <c r="G18" s="42">
        <f>G16+G17</f>
        <v>0</v>
      </c>
    </row>
    <row r="19" spans="4:7" x14ac:dyDescent="0.5">
      <c r="D19" s="6"/>
      <c r="E19" s="34"/>
      <c r="F19" s="33"/>
      <c r="G19" s="42"/>
    </row>
    <row r="20" spans="4:7" x14ac:dyDescent="0.5">
      <c r="D20" s="6"/>
      <c r="E20" s="34"/>
      <c r="F20" s="45" t="s">
        <v>98</v>
      </c>
      <c r="G20" s="42">
        <f>G18+G14</f>
        <v>0</v>
      </c>
    </row>
    <row r="21" spans="4:7" ht="14.7" thickBot="1" x14ac:dyDescent="0.55000000000000004">
      <c r="D21" s="8"/>
      <c r="E21" s="40"/>
      <c r="F21" s="46"/>
      <c r="G21" s="43"/>
    </row>
    <row r="22" spans="4:7" x14ac:dyDescent="0.5">
      <c r="D22" s="1"/>
      <c r="E22" s="34"/>
      <c r="F22" s="45"/>
      <c r="G22" s="34"/>
    </row>
  </sheetData>
  <mergeCells count="2">
    <mergeCell ref="D4:E4"/>
    <mergeCell ref="F4:G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MainMenu_Click">
                <anchor moveWithCells="1" sizeWithCells="1">
                  <from>
                    <xdr:col>4</xdr:col>
                    <xdr:colOff>1185333</xdr:colOff>
                    <xdr:row>0</xdr:row>
                    <xdr:rowOff>88900</xdr:rowOff>
                  </from>
                  <to>
                    <xdr:col>5</xdr:col>
                    <xdr:colOff>918633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62FD64-AD49-448E-88AA-08B408EEAD62}">
  <sheetPr codeName="Sheet8"/>
  <dimension ref="B3:K15"/>
  <sheetViews>
    <sheetView showGridLines="0" workbookViewId="0">
      <selection activeCell="B7" sqref="B7:G7"/>
    </sheetView>
  </sheetViews>
  <sheetFormatPr defaultRowHeight="14.35" x14ac:dyDescent="0.5"/>
  <cols>
    <col min="2" max="2" width="14.234375" style="22" bestFit="1" customWidth="1"/>
    <col min="3" max="3" width="13.1171875" style="26" bestFit="1" customWidth="1"/>
    <col min="4" max="4" width="11.703125" style="22" bestFit="1" customWidth="1"/>
    <col min="5" max="5" width="14.52734375" style="26" bestFit="1" customWidth="1"/>
    <col min="6" max="6" width="8.9375" style="22"/>
    <col min="7" max="7" width="18.87890625" style="22" bestFit="1" customWidth="1"/>
    <col min="8" max="8" width="18.87890625" bestFit="1" customWidth="1"/>
    <col min="10" max="10" width="20.29296875" customWidth="1"/>
  </cols>
  <sheetData>
    <row r="3" spans="2:11" ht="23.35" x14ac:dyDescent="0.5">
      <c r="B3" s="21" t="s">
        <v>44</v>
      </c>
    </row>
    <row r="4" spans="2:11" x14ac:dyDescent="0.5">
      <c r="B4" s="33"/>
      <c r="C4" s="34"/>
      <c r="D4" s="33"/>
      <c r="E4" s="34"/>
      <c r="F4" s="33"/>
      <c r="G4" s="33"/>
      <c r="H4" s="1"/>
      <c r="I4" s="1"/>
    </row>
    <row r="5" spans="2:11" x14ac:dyDescent="0.5">
      <c r="B5" s="33"/>
      <c r="C5" s="34"/>
      <c r="D5" s="33"/>
      <c r="E5" s="34"/>
      <c r="F5" s="33"/>
      <c r="H5" s="1"/>
      <c r="I5" s="1"/>
      <c r="J5" s="1"/>
    </row>
    <row r="6" spans="2:11" x14ac:dyDescent="0.5">
      <c r="B6" s="33"/>
      <c r="C6" s="34"/>
      <c r="D6" s="33"/>
      <c r="E6" s="34"/>
      <c r="F6" s="33"/>
      <c r="J6" s="30" t="s">
        <v>64</v>
      </c>
      <c r="K6" s="30"/>
    </row>
    <row r="7" spans="2:11" x14ac:dyDescent="0.5">
      <c r="B7" s="49" t="s">
        <v>60</v>
      </c>
      <c r="C7" s="52" t="s">
        <v>13</v>
      </c>
      <c r="D7" s="49" t="s">
        <v>61</v>
      </c>
      <c r="E7" s="52" t="s">
        <v>62</v>
      </c>
      <c r="F7" s="50" t="s">
        <v>63</v>
      </c>
      <c r="G7" s="49" t="s">
        <v>67</v>
      </c>
      <c r="J7" s="30"/>
      <c r="K7" s="30"/>
    </row>
    <row r="8" spans="2:11" ht="14.7" thickBot="1" x14ac:dyDescent="0.55000000000000004">
      <c r="B8" s="22" t="s">
        <v>69</v>
      </c>
      <c r="C8" s="26">
        <v>0.01</v>
      </c>
      <c r="D8" s="22">
        <v>16</v>
      </c>
      <c r="E8" s="26">
        <f xml:space="preserve"> C8 * D8</f>
        <v>0.16</v>
      </c>
      <c r="G8" s="22">
        <v>8</v>
      </c>
      <c r="J8" s="31" t="s">
        <v>65</v>
      </c>
      <c r="K8" s="31"/>
    </row>
    <row r="9" spans="2:11" x14ac:dyDescent="0.5">
      <c r="B9" s="22" t="s">
        <v>70</v>
      </c>
      <c r="C9" s="26">
        <v>0.05</v>
      </c>
      <c r="D9" s="22">
        <v>19</v>
      </c>
      <c r="E9" s="26">
        <f t="shared" ref="E9:E15" si="0" xml:space="preserve"> C9 * D9</f>
        <v>0.95000000000000007</v>
      </c>
      <c r="G9" s="22">
        <v>1</v>
      </c>
      <c r="J9" s="32">
        <f>_xlfn.FLOOR.MATH(MIN(D8/G8, D9/G9, D10/G10, D11/G11, D12/G12, D13/G13, D14/G14, D15/G15))</f>
        <v>2</v>
      </c>
      <c r="K9" s="32"/>
    </row>
    <row r="10" spans="2:11" x14ac:dyDescent="0.5">
      <c r="B10" s="22" t="s">
        <v>71</v>
      </c>
      <c r="C10" s="26">
        <v>0.05</v>
      </c>
      <c r="D10" s="22">
        <v>29</v>
      </c>
      <c r="E10" s="26">
        <f t="shared" si="0"/>
        <v>1.4500000000000002</v>
      </c>
      <c r="G10" s="22">
        <v>1</v>
      </c>
    </row>
    <row r="11" spans="2:11" x14ac:dyDescent="0.5">
      <c r="B11" s="22" t="s">
        <v>72</v>
      </c>
      <c r="C11" s="26">
        <v>0.1</v>
      </c>
      <c r="D11" s="22">
        <v>39</v>
      </c>
      <c r="E11" s="26">
        <f t="shared" si="0"/>
        <v>3.9000000000000004</v>
      </c>
      <c r="G11" s="22">
        <v>1</v>
      </c>
    </row>
    <row r="12" spans="2:11" x14ac:dyDescent="0.5">
      <c r="B12" s="22" t="s">
        <v>73</v>
      </c>
      <c r="C12" s="26">
        <v>0.01</v>
      </c>
      <c r="D12" s="22">
        <v>46</v>
      </c>
      <c r="E12" s="26">
        <f t="shared" si="0"/>
        <v>0.46</v>
      </c>
      <c r="G12" s="22">
        <v>4</v>
      </c>
    </row>
    <row r="13" spans="2:11" x14ac:dyDescent="0.5">
      <c r="B13" s="22" t="s">
        <v>74</v>
      </c>
      <c r="C13" s="26">
        <v>0.1</v>
      </c>
      <c r="D13" s="22">
        <v>59</v>
      </c>
      <c r="E13" s="26">
        <f t="shared" si="0"/>
        <v>5.9</v>
      </c>
      <c r="G13" s="22">
        <v>1</v>
      </c>
      <c r="J13" t="s">
        <v>101</v>
      </c>
      <c r="K13" s="24">
        <f>SUM(E8:E15)</f>
        <v>23.669999999999998</v>
      </c>
    </row>
    <row r="14" spans="2:11" x14ac:dyDescent="0.5">
      <c r="B14" s="22" t="s">
        <v>75</v>
      </c>
      <c r="C14" s="26">
        <v>0.1</v>
      </c>
      <c r="D14" s="22">
        <v>69</v>
      </c>
      <c r="E14" s="26">
        <f t="shared" si="0"/>
        <v>6.9</v>
      </c>
      <c r="G14" s="22">
        <v>1</v>
      </c>
    </row>
    <row r="15" spans="2:11" x14ac:dyDescent="0.5">
      <c r="B15" s="22" t="s">
        <v>76</v>
      </c>
      <c r="C15" s="26">
        <v>0.05</v>
      </c>
      <c r="D15" s="22">
        <v>79</v>
      </c>
      <c r="E15" s="26">
        <f t="shared" si="0"/>
        <v>3.95</v>
      </c>
      <c r="G15" s="22">
        <v>1</v>
      </c>
    </row>
  </sheetData>
  <mergeCells count="3">
    <mergeCell ref="J6:K7"/>
    <mergeCell ref="J8:K8"/>
    <mergeCell ref="J9:K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402167</xdr:colOff>
                    <xdr:row>2</xdr:row>
                    <xdr:rowOff>8467</xdr:rowOff>
                  </from>
                  <to>
                    <xdr:col>4</xdr:col>
                    <xdr:colOff>732367</xdr:colOff>
                    <xdr:row>3</xdr:row>
                    <xdr:rowOff>131233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225E6-8A59-4510-9AB8-347655730FB4}">
  <sheetPr codeName="Sheet10"/>
  <dimension ref="B3:K73"/>
  <sheetViews>
    <sheetView showGridLines="0" workbookViewId="0">
      <selection activeCell="B6" sqref="B6:G6"/>
    </sheetView>
  </sheetViews>
  <sheetFormatPr defaultRowHeight="14.35" x14ac:dyDescent="0.5"/>
  <cols>
    <col min="1" max="1" width="9.52734375" customWidth="1"/>
    <col min="2" max="2" width="13.234375" style="22" bestFit="1" customWidth="1"/>
    <col min="3" max="3" width="8.9375" style="22"/>
    <col min="4" max="4" width="15.9375" style="22" bestFit="1" customWidth="1"/>
    <col min="5" max="7" width="8.9375" style="22"/>
    <col min="10" max="10" width="15.703125" customWidth="1"/>
    <col min="11" max="11" width="11.3515625" customWidth="1"/>
  </cols>
  <sheetData>
    <row r="3" spans="2:11" ht="23.35" x14ac:dyDescent="0.5">
      <c r="B3" s="21" t="s">
        <v>81</v>
      </c>
      <c r="D3" s="33"/>
      <c r="E3" s="33"/>
    </row>
    <row r="4" spans="2:11" ht="14.35" customHeight="1" x14ac:dyDescent="0.5">
      <c r="D4" s="33"/>
      <c r="E4" s="33"/>
    </row>
    <row r="5" spans="2:11" ht="14.7" thickBot="1" x14ac:dyDescent="0.55000000000000004">
      <c r="D5" s="33"/>
      <c r="E5" s="33"/>
    </row>
    <row r="6" spans="2:11" x14ac:dyDescent="0.5">
      <c r="B6" s="49" t="s">
        <v>78</v>
      </c>
      <c r="C6" s="49" t="s">
        <v>87</v>
      </c>
      <c r="D6" s="49" t="s">
        <v>79</v>
      </c>
      <c r="E6" s="49" t="s">
        <v>61</v>
      </c>
      <c r="F6" s="50" t="s">
        <v>13</v>
      </c>
      <c r="G6" s="50" t="s">
        <v>80</v>
      </c>
      <c r="J6" s="14" t="s">
        <v>82</v>
      </c>
      <c r="K6" s="15">
        <f>SUM(G7:G1000000)</f>
        <v>0</v>
      </c>
    </row>
    <row r="7" spans="2:11" ht="14.7" thickBot="1" x14ac:dyDescent="0.55000000000000004">
      <c r="B7" s="22" t="str">
        <f>IF(C7="","", 1)</f>
        <v/>
      </c>
      <c r="J7" s="13" t="s">
        <v>83</v>
      </c>
      <c r="K7" s="16">
        <v>16913.05</v>
      </c>
    </row>
    <row r="8" spans="2:11" x14ac:dyDescent="0.5">
      <c r="B8" s="22" t="str">
        <f>IF(C8="","", B7 +1)</f>
        <v/>
      </c>
    </row>
    <row r="9" spans="2:11" x14ac:dyDescent="0.5">
      <c r="B9" s="22" t="str">
        <f>IF(C9="","",B8+1)</f>
        <v/>
      </c>
    </row>
    <row r="10" spans="2:11" x14ac:dyDescent="0.5">
      <c r="B10" s="22" t="str">
        <f t="shared" ref="B10" si="0">IF(C10="","", B9 +1)</f>
        <v/>
      </c>
    </row>
    <row r="11" spans="2:11" x14ac:dyDescent="0.5">
      <c r="B11" s="22" t="str">
        <f t="shared" ref="B11" si="1">IF(C11="","",B10+1)</f>
        <v/>
      </c>
    </row>
    <row r="12" spans="2:11" x14ac:dyDescent="0.5">
      <c r="B12" s="22" t="str">
        <f t="shared" ref="B12" si="2">IF(C12="","", B11 +1)</f>
        <v/>
      </c>
    </row>
    <row r="13" spans="2:11" x14ac:dyDescent="0.5">
      <c r="B13" s="22" t="str">
        <f t="shared" ref="B13" si="3">IF(C13="","",B12+1)</f>
        <v/>
      </c>
    </row>
    <row r="14" spans="2:11" x14ac:dyDescent="0.5">
      <c r="B14" s="22" t="str">
        <f t="shared" ref="B14" si="4">IF(C14="","", B13 +1)</f>
        <v/>
      </c>
    </row>
    <row r="15" spans="2:11" x14ac:dyDescent="0.5">
      <c r="B15" s="22" t="str">
        <f t="shared" ref="B15" si="5">IF(C15="","",B14+1)</f>
        <v/>
      </c>
    </row>
    <row r="16" spans="2:11" x14ac:dyDescent="0.5">
      <c r="B16" s="22" t="str">
        <f t="shared" ref="B16" si="6">IF(C16="","", B15 +1)</f>
        <v/>
      </c>
    </row>
    <row r="17" spans="2:2" x14ac:dyDescent="0.5">
      <c r="B17" s="22" t="str">
        <f t="shared" ref="B17" si="7">IF(C17="","",B16+1)</f>
        <v/>
      </c>
    </row>
    <row r="18" spans="2:2" x14ac:dyDescent="0.5">
      <c r="B18" s="22" t="str">
        <f t="shared" ref="B18" si="8">IF(C18="","", B17 +1)</f>
        <v/>
      </c>
    </row>
    <row r="19" spans="2:2" x14ac:dyDescent="0.5">
      <c r="B19" s="22" t="str">
        <f t="shared" ref="B19" si="9">IF(C19="","",B18+1)</f>
        <v/>
      </c>
    </row>
    <row r="20" spans="2:2" x14ac:dyDescent="0.5">
      <c r="B20" s="22" t="str">
        <f t="shared" ref="B20" si="10">IF(C20="","", B19 +1)</f>
        <v/>
      </c>
    </row>
    <row r="21" spans="2:2" x14ac:dyDescent="0.5">
      <c r="B21" s="22" t="str">
        <f t="shared" ref="B21" si="11">IF(C21="","",B20+1)</f>
        <v/>
      </c>
    </row>
    <row r="22" spans="2:2" x14ac:dyDescent="0.5">
      <c r="B22" s="22" t="str">
        <f t="shared" ref="B22" si="12">IF(C22="","", B21 +1)</f>
        <v/>
      </c>
    </row>
    <row r="23" spans="2:2" x14ac:dyDescent="0.5">
      <c r="B23" s="22" t="str">
        <f t="shared" ref="B23" si="13">IF(C23="","",B22+1)</f>
        <v/>
      </c>
    </row>
    <row r="24" spans="2:2" x14ac:dyDescent="0.5">
      <c r="B24" s="22" t="str">
        <f t="shared" ref="B24" si="14">IF(C24="","", B23 +1)</f>
        <v/>
      </c>
    </row>
    <row r="25" spans="2:2" x14ac:dyDescent="0.5">
      <c r="B25" s="22" t="str">
        <f t="shared" ref="B25" si="15">IF(C25="","",B24+1)</f>
        <v/>
      </c>
    </row>
    <row r="26" spans="2:2" x14ac:dyDescent="0.5">
      <c r="B26" s="22" t="str">
        <f t="shared" ref="B26" si="16">IF(C26="","", B25 +1)</f>
        <v/>
      </c>
    </row>
    <row r="27" spans="2:2" x14ac:dyDescent="0.5">
      <c r="B27" s="22" t="str">
        <f t="shared" ref="B27" si="17">IF(C27="","",B26+1)</f>
        <v/>
      </c>
    </row>
    <row r="28" spans="2:2" x14ac:dyDescent="0.5">
      <c r="B28" s="22" t="str">
        <f t="shared" ref="B28" si="18">IF(C28="","", B27 +1)</f>
        <v/>
      </c>
    </row>
    <row r="29" spans="2:2" x14ac:dyDescent="0.5">
      <c r="B29" s="22" t="str">
        <f t="shared" ref="B29" si="19">IF(C29="","",B28+1)</f>
        <v/>
      </c>
    </row>
    <row r="30" spans="2:2" x14ac:dyDescent="0.5">
      <c r="B30" s="22" t="str">
        <f t="shared" ref="B30" si="20">IF(C30="","", B29 +1)</f>
        <v/>
      </c>
    </row>
    <row r="31" spans="2:2" x14ac:dyDescent="0.5">
      <c r="B31" s="22" t="str">
        <f t="shared" ref="B31" si="21">IF(C31="","",B30+1)</f>
        <v/>
      </c>
    </row>
    <row r="32" spans="2:2" x14ac:dyDescent="0.5">
      <c r="B32" s="22" t="str">
        <f t="shared" ref="B32" si="22">IF(C32="","", B31 +1)</f>
        <v/>
      </c>
    </row>
    <row r="33" spans="2:2" x14ac:dyDescent="0.5">
      <c r="B33" s="22" t="str">
        <f t="shared" ref="B33" si="23">IF(C33="","",B32+1)</f>
        <v/>
      </c>
    </row>
    <row r="34" spans="2:2" x14ac:dyDescent="0.5">
      <c r="B34" s="22" t="str">
        <f t="shared" ref="B34" si="24">IF(C34="","", B33 +1)</f>
        <v/>
      </c>
    </row>
    <row r="35" spans="2:2" x14ac:dyDescent="0.5">
      <c r="B35" s="22" t="str">
        <f t="shared" ref="B35" si="25">IF(C35="","",B34+1)</f>
        <v/>
      </c>
    </row>
    <row r="36" spans="2:2" x14ac:dyDescent="0.5">
      <c r="B36" s="22" t="str">
        <f t="shared" ref="B36" si="26">IF(C36="","", B35 +1)</f>
        <v/>
      </c>
    </row>
    <row r="37" spans="2:2" x14ac:dyDescent="0.5">
      <c r="B37" s="22" t="str">
        <f t="shared" ref="B37" si="27">IF(C37="","",B36+1)</f>
        <v/>
      </c>
    </row>
    <row r="38" spans="2:2" x14ac:dyDescent="0.5">
      <c r="B38" s="22" t="str">
        <f t="shared" ref="B38" si="28">IF(C38="","", B37 +1)</f>
        <v/>
      </c>
    </row>
    <row r="39" spans="2:2" x14ac:dyDescent="0.5">
      <c r="B39" s="22" t="str">
        <f t="shared" ref="B39" si="29">IF(C39="","",B38+1)</f>
        <v/>
      </c>
    </row>
    <row r="40" spans="2:2" x14ac:dyDescent="0.5">
      <c r="B40" s="22" t="str">
        <f t="shared" ref="B40" si="30">IF(C40="","", B39 +1)</f>
        <v/>
      </c>
    </row>
    <row r="41" spans="2:2" x14ac:dyDescent="0.5">
      <c r="B41" s="22" t="str">
        <f t="shared" ref="B41" si="31">IF(C41="","",B40+1)</f>
        <v/>
      </c>
    </row>
    <row r="42" spans="2:2" x14ac:dyDescent="0.5">
      <c r="B42" s="22" t="str">
        <f t="shared" ref="B42" si="32">IF(C42="","", B41 +1)</f>
        <v/>
      </c>
    </row>
    <row r="43" spans="2:2" x14ac:dyDescent="0.5">
      <c r="B43" s="22" t="str">
        <f t="shared" ref="B43" si="33">IF(C43="","",B42+1)</f>
        <v/>
      </c>
    </row>
    <row r="44" spans="2:2" x14ac:dyDescent="0.5">
      <c r="B44" s="22" t="str">
        <f t="shared" ref="B44" si="34">IF(C44="","", B43 +1)</f>
        <v/>
      </c>
    </row>
    <row r="45" spans="2:2" x14ac:dyDescent="0.5">
      <c r="B45" s="22" t="str">
        <f t="shared" ref="B45" si="35">IF(C45="","",B44+1)</f>
        <v/>
      </c>
    </row>
    <row r="46" spans="2:2" x14ac:dyDescent="0.5">
      <c r="B46" s="22" t="str">
        <f t="shared" ref="B46" si="36">IF(C46="","", B45 +1)</f>
        <v/>
      </c>
    </row>
    <row r="47" spans="2:2" x14ac:dyDescent="0.5">
      <c r="B47" s="22" t="str">
        <f t="shared" ref="B47" si="37">IF(C47="","",B46+1)</f>
        <v/>
      </c>
    </row>
    <row r="48" spans="2:2" x14ac:dyDescent="0.5">
      <c r="B48" s="22" t="str">
        <f t="shared" ref="B48" si="38">IF(C48="","", B47 +1)</f>
        <v/>
      </c>
    </row>
    <row r="49" spans="2:2" x14ac:dyDescent="0.5">
      <c r="B49" s="22" t="str">
        <f t="shared" ref="B49" si="39">IF(C49="","",B48+1)</f>
        <v/>
      </c>
    </row>
    <row r="50" spans="2:2" x14ac:dyDescent="0.5">
      <c r="B50" s="22" t="str">
        <f t="shared" ref="B50" si="40">IF(C50="","", B49 +1)</f>
        <v/>
      </c>
    </row>
    <row r="51" spans="2:2" x14ac:dyDescent="0.5">
      <c r="B51" s="22" t="str">
        <f t="shared" ref="B51" si="41">IF(C51="","",B50+1)</f>
        <v/>
      </c>
    </row>
    <row r="52" spans="2:2" x14ac:dyDescent="0.5">
      <c r="B52" s="22" t="str">
        <f t="shared" ref="B52" si="42">IF(C52="","", B51 +1)</f>
        <v/>
      </c>
    </row>
    <row r="53" spans="2:2" x14ac:dyDescent="0.5">
      <c r="B53" s="22" t="str">
        <f t="shared" ref="B53" si="43">IF(C53="","",B52+1)</f>
        <v/>
      </c>
    </row>
    <row r="54" spans="2:2" x14ac:dyDescent="0.5">
      <c r="B54" s="22" t="str">
        <f t="shared" ref="B54" si="44">IF(C54="","", B53 +1)</f>
        <v/>
      </c>
    </row>
    <row r="55" spans="2:2" x14ac:dyDescent="0.5">
      <c r="B55" s="22" t="str">
        <f t="shared" ref="B55" si="45">IF(C55="","",B54+1)</f>
        <v/>
      </c>
    </row>
    <row r="56" spans="2:2" x14ac:dyDescent="0.5">
      <c r="B56" s="22" t="str">
        <f t="shared" ref="B56" si="46">IF(C56="","", B55 +1)</f>
        <v/>
      </c>
    </row>
    <row r="57" spans="2:2" x14ac:dyDescent="0.5">
      <c r="B57" s="22" t="str">
        <f t="shared" ref="B57" si="47">IF(C57="","",B56+1)</f>
        <v/>
      </c>
    </row>
    <row r="58" spans="2:2" x14ac:dyDescent="0.5">
      <c r="B58" s="22" t="str">
        <f t="shared" ref="B58" si="48">IF(C58="","", B57 +1)</f>
        <v/>
      </c>
    </row>
    <row r="59" spans="2:2" x14ac:dyDescent="0.5">
      <c r="B59" s="22" t="str">
        <f t="shared" ref="B59" si="49">IF(C59="","",B58+1)</f>
        <v/>
      </c>
    </row>
    <row r="60" spans="2:2" x14ac:dyDescent="0.5">
      <c r="B60" s="22" t="str">
        <f t="shared" ref="B60" si="50">IF(C60="","", B59 +1)</f>
        <v/>
      </c>
    </row>
    <row r="61" spans="2:2" x14ac:dyDescent="0.5">
      <c r="B61" s="22" t="str">
        <f t="shared" ref="B61" si="51">IF(C61="","",B60+1)</f>
        <v/>
      </c>
    </row>
    <row r="62" spans="2:2" x14ac:dyDescent="0.5">
      <c r="B62" s="22" t="str">
        <f t="shared" ref="B62" si="52">IF(C62="","", B61 +1)</f>
        <v/>
      </c>
    </row>
    <row r="63" spans="2:2" x14ac:dyDescent="0.5">
      <c r="B63" s="22" t="str">
        <f t="shared" ref="B63" si="53">IF(C63="","",B62+1)</f>
        <v/>
      </c>
    </row>
    <row r="64" spans="2:2" x14ac:dyDescent="0.5">
      <c r="B64" s="22" t="str">
        <f t="shared" ref="B64" si="54">IF(C64="","", B63 +1)</f>
        <v/>
      </c>
    </row>
    <row r="65" spans="2:2" x14ac:dyDescent="0.5">
      <c r="B65" s="22" t="str">
        <f t="shared" ref="B65" si="55">IF(C65="","",B64+1)</f>
        <v/>
      </c>
    </row>
    <row r="66" spans="2:2" x14ac:dyDescent="0.5">
      <c r="B66" s="22" t="str">
        <f t="shared" ref="B66" si="56">IF(C66="","", B65 +1)</f>
        <v/>
      </c>
    </row>
    <row r="67" spans="2:2" x14ac:dyDescent="0.5">
      <c r="B67" s="22" t="str">
        <f t="shared" ref="B67" si="57">IF(C67="","",B66+1)</f>
        <v/>
      </c>
    </row>
    <row r="68" spans="2:2" x14ac:dyDescent="0.5">
      <c r="B68" s="22" t="str">
        <f t="shared" ref="B68" si="58">IF(C68="","", B67 +1)</f>
        <v/>
      </c>
    </row>
    <row r="69" spans="2:2" x14ac:dyDescent="0.5">
      <c r="B69" s="22" t="str">
        <f t="shared" ref="B69" si="59">IF(C69="","",B68+1)</f>
        <v/>
      </c>
    </row>
    <row r="70" spans="2:2" x14ac:dyDescent="0.5">
      <c r="B70" s="22" t="str">
        <f t="shared" ref="B70" si="60">IF(C70="","", B69 +1)</f>
        <v/>
      </c>
    </row>
    <row r="71" spans="2:2" x14ac:dyDescent="0.5">
      <c r="B71" s="22" t="str">
        <f t="shared" ref="B71" si="61">IF(C71="","",B70+1)</f>
        <v/>
      </c>
    </row>
    <row r="72" spans="2:2" x14ac:dyDescent="0.5">
      <c r="B72" s="22" t="str">
        <f t="shared" ref="B72" si="62">IF(C72="","", B71 +1)</f>
        <v/>
      </c>
    </row>
    <row r="73" spans="2:2" x14ac:dyDescent="0.5">
      <c r="B73" s="22" t="str">
        <f t="shared" ref="B73" si="63">IF(C73="","",B72+1)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ShowMainMenu_Click">
                <anchor moveWithCells="1" sizeWithCells="1">
                  <from>
                    <xdr:col>3</xdr:col>
                    <xdr:colOff>393700</xdr:colOff>
                    <xdr:row>2</xdr:row>
                    <xdr:rowOff>4233</xdr:rowOff>
                  </from>
                  <to>
                    <xdr:col>4</xdr:col>
                    <xdr:colOff>385233</xdr:colOff>
                    <xdr:row>3</xdr:row>
                    <xdr:rowOff>93133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F338-1D09-44C1-B70C-87DE1E9F9663}">
  <sheetPr codeName="Sheet11"/>
  <dimension ref="B2:L153"/>
  <sheetViews>
    <sheetView showGridLines="0" workbookViewId="0">
      <selection activeCell="J17" sqref="J17"/>
    </sheetView>
  </sheetViews>
  <sheetFormatPr defaultRowHeight="14.35" x14ac:dyDescent="0.5"/>
  <cols>
    <col min="2" max="2" width="13.234375" style="22" bestFit="1" customWidth="1"/>
    <col min="3" max="3" width="8.29296875" style="22" bestFit="1" customWidth="1"/>
    <col min="4" max="4" width="14.1171875" style="22" customWidth="1"/>
    <col min="5" max="6" width="8.9375" style="22"/>
    <col min="7" max="8" width="8.9375" style="26"/>
  </cols>
  <sheetData>
    <row r="2" spans="2:12" ht="23.35" x14ac:dyDescent="0.5">
      <c r="B2" s="21" t="s">
        <v>110</v>
      </c>
    </row>
    <row r="3" spans="2:12" x14ac:dyDescent="0.5">
      <c r="B3" s="33"/>
      <c r="C3" s="33"/>
      <c r="D3" s="33"/>
      <c r="E3" s="33"/>
    </row>
    <row r="4" spans="2:12" x14ac:dyDescent="0.5">
      <c r="B4" s="49" t="s">
        <v>84</v>
      </c>
      <c r="C4" s="49" t="s">
        <v>87</v>
      </c>
      <c r="D4" s="49" t="s">
        <v>85</v>
      </c>
      <c r="E4" s="49" t="s">
        <v>12</v>
      </c>
      <c r="F4" s="50" t="s">
        <v>61</v>
      </c>
      <c r="G4" s="51" t="s">
        <v>86</v>
      </c>
      <c r="H4" s="51" t="s">
        <v>80</v>
      </c>
    </row>
    <row r="5" spans="2:12" x14ac:dyDescent="0.5">
      <c r="B5" s="22">
        <f>IF(C5="","", 1)</f>
        <v>1</v>
      </c>
      <c r="C5" s="22" t="s">
        <v>91</v>
      </c>
      <c r="E5" s="22" t="s">
        <v>73</v>
      </c>
      <c r="F5" s="22">
        <v>9</v>
      </c>
      <c r="G5" s="26">
        <v>0.01</v>
      </c>
      <c r="H5" s="26">
        <v>0.09</v>
      </c>
    </row>
    <row r="6" spans="2:12" ht="14.7" thickBot="1" x14ac:dyDescent="0.55000000000000004">
      <c r="B6" s="22">
        <f>IF(C6="","", B5+1)</f>
        <v>2</v>
      </c>
      <c r="C6" s="22" t="s">
        <v>91</v>
      </c>
      <c r="E6" s="22" t="s">
        <v>72</v>
      </c>
      <c r="F6" s="22">
        <v>5</v>
      </c>
      <c r="G6" s="26">
        <v>0.1</v>
      </c>
      <c r="H6" s="26">
        <v>0.5</v>
      </c>
    </row>
    <row r="7" spans="2:12" x14ac:dyDescent="0.5">
      <c r="B7" s="22" t="str">
        <f>IF(C7="", "", B6 + 1)</f>
        <v/>
      </c>
      <c r="K7" s="14" t="s">
        <v>82</v>
      </c>
      <c r="L7" s="15">
        <f>SUM(H8:H1000001)</f>
        <v>0</v>
      </c>
    </row>
    <row r="8" spans="2:12" ht="14.7" thickBot="1" x14ac:dyDescent="0.55000000000000004">
      <c r="B8" s="22" t="str">
        <f t="shared" ref="B8" si="0">IF(C8="","", B7+1)</f>
        <v/>
      </c>
      <c r="K8" s="13" t="s">
        <v>83</v>
      </c>
      <c r="L8" s="16">
        <f>SUM(H5:H100000)</f>
        <v>0.59</v>
      </c>
    </row>
    <row r="9" spans="2:12" x14ac:dyDescent="0.5">
      <c r="B9" s="22" t="str">
        <f t="shared" ref="B9" si="1">IF(C9="", "", B8 + 1)</f>
        <v/>
      </c>
    </row>
    <row r="10" spans="2:12" x14ac:dyDescent="0.5">
      <c r="B10" s="22" t="str">
        <f t="shared" ref="B10" si="2">IF(C10="","", B9+1)</f>
        <v/>
      </c>
    </row>
    <row r="11" spans="2:12" x14ac:dyDescent="0.5">
      <c r="B11" s="22" t="str">
        <f t="shared" ref="B11" si="3">IF(C11="", "", B10 + 1)</f>
        <v/>
      </c>
    </row>
    <row r="12" spans="2:12" x14ac:dyDescent="0.5">
      <c r="B12" s="22" t="str">
        <f t="shared" ref="B12" si="4">IF(C12="","", B11+1)</f>
        <v/>
      </c>
    </row>
    <row r="13" spans="2:12" x14ac:dyDescent="0.5">
      <c r="B13" s="22" t="str">
        <f t="shared" ref="B13" si="5">IF(C13="", "", B12 + 1)</f>
        <v/>
      </c>
    </row>
    <row r="14" spans="2:12" x14ac:dyDescent="0.5">
      <c r="B14" s="22" t="str">
        <f t="shared" ref="B14" si="6">IF(C14="","", B13+1)</f>
        <v/>
      </c>
    </row>
    <row r="15" spans="2:12" x14ac:dyDescent="0.5">
      <c r="B15" s="22" t="str">
        <f t="shared" ref="B15" si="7">IF(C15="", "", B14 + 1)</f>
        <v/>
      </c>
    </row>
    <row r="16" spans="2:12" x14ac:dyDescent="0.5">
      <c r="B16" s="22" t="str">
        <f t="shared" ref="B16" si="8">IF(C16="","", B15+1)</f>
        <v/>
      </c>
    </row>
    <row r="17" spans="2:2" x14ac:dyDescent="0.5">
      <c r="B17" s="22" t="str">
        <f t="shared" ref="B17" si="9">IF(C17="", "", B16 + 1)</f>
        <v/>
      </c>
    </row>
    <row r="18" spans="2:2" x14ac:dyDescent="0.5">
      <c r="B18" s="22" t="str">
        <f t="shared" ref="B18" si="10">IF(C18="","", B17+1)</f>
        <v/>
      </c>
    </row>
    <row r="19" spans="2:2" x14ac:dyDescent="0.5">
      <c r="B19" s="22" t="str">
        <f t="shared" ref="B19" si="11">IF(C19="", "", B18 + 1)</f>
        <v/>
      </c>
    </row>
    <row r="20" spans="2:2" x14ac:dyDescent="0.5">
      <c r="B20" s="22" t="str">
        <f t="shared" ref="B20" si="12">IF(C20="","", B19+1)</f>
        <v/>
      </c>
    </row>
    <row r="21" spans="2:2" x14ac:dyDescent="0.5">
      <c r="B21" s="22" t="str">
        <f t="shared" ref="B21" si="13">IF(C21="", "", B20 + 1)</f>
        <v/>
      </c>
    </row>
    <row r="22" spans="2:2" x14ac:dyDescent="0.5">
      <c r="B22" s="22" t="str">
        <f t="shared" ref="B22" si="14">IF(C22="","", B21+1)</f>
        <v/>
      </c>
    </row>
    <row r="23" spans="2:2" x14ac:dyDescent="0.5">
      <c r="B23" s="22" t="str">
        <f t="shared" ref="B23" si="15">IF(C23="", "", B22 + 1)</f>
        <v/>
      </c>
    </row>
    <row r="24" spans="2:2" x14ac:dyDescent="0.5">
      <c r="B24" s="22" t="str">
        <f t="shared" ref="B24" si="16">IF(C24="","", B23+1)</f>
        <v/>
      </c>
    </row>
    <row r="25" spans="2:2" x14ac:dyDescent="0.5">
      <c r="B25" s="22" t="str">
        <f t="shared" ref="B25" si="17">IF(C25="", "", B24 + 1)</f>
        <v/>
      </c>
    </row>
    <row r="26" spans="2:2" x14ac:dyDescent="0.5">
      <c r="B26" s="22" t="str">
        <f t="shared" ref="B26" si="18">IF(C26="","", B25+1)</f>
        <v/>
      </c>
    </row>
    <row r="27" spans="2:2" x14ac:dyDescent="0.5">
      <c r="B27" s="22" t="str">
        <f t="shared" ref="B27" si="19">IF(C27="", "", B26 + 1)</f>
        <v/>
      </c>
    </row>
    <row r="28" spans="2:2" x14ac:dyDescent="0.5">
      <c r="B28" s="22" t="str">
        <f t="shared" ref="B28" si="20">IF(C28="","", B27+1)</f>
        <v/>
      </c>
    </row>
    <row r="29" spans="2:2" x14ac:dyDescent="0.5">
      <c r="B29" s="22" t="str">
        <f t="shared" ref="B29" si="21">IF(C29="", "", B28 + 1)</f>
        <v/>
      </c>
    </row>
    <row r="30" spans="2:2" x14ac:dyDescent="0.5">
      <c r="B30" s="22" t="str">
        <f t="shared" ref="B30" si="22">IF(C30="","", B29+1)</f>
        <v/>
      </c>
    </row>
    <row r="31" spans="2:2" x14ac:dyDescent="0.5">
      <c r="B31" s="22" t="str">
        <f t="shared" ref="B31" si="23">IF(C31="", "", B30 + 1)</f>
        <v/>
      </c>
    </row>
    <row r="32" spans="2:2" x14ac:dyDescent="0.5">
      <c r="B32" s="22" t="str">
        <f t="shared" ref="B32" si="24">IF(C32="","", B31+1)</f>
        <v/>
      </c>
    </row>
    <row r="33" spans="2:2" x14ac:dyDescent="0.5">
      <c r="B33" s="22" t="str">
        <f t="shared" ref="B33" si="25">IF(C33="", "", B32 + 1)</f>
        <v/>
      </c>
    </row>
    <row r="34" spans="2:2" x14ac:dyDescent="0.5">
      <c r="B34" s="22" t="str">
        <f t="shared" ref="B34" si="26">IF(C34="","", B33+1)</f>
        <v/>
      </c>
    </row>
    <row r="35" spans="2:2" x14ac:dyDescent="0.5">
      <c r="B35" s="22" t="str">
        <f t="shared" ref="B35" si="27">IF(C35="", "", B34 + 1)</f>
        <v/>
      </c>
    </row>
    <row r="36" spans="2:2" x14ac:dyDescent="0.5">
      <c r="B36" s="22" t="str">
        <f t="shared" ref="B36" si="28">IF(C36="","", B35+1)</f>
        <v/>
      </c>
    </row>
    <row r="37" spans="2:2" x14ac:dyDescent="0.5">
      <c r="B37" s="22" t="str">
        <f t="shared" ref="B37" si="29">IF(C37="", "", B36 + 1)</f>
        <v/>
      </c>
    </row>
    <row r="38" spans="2:2" x14ac:dyDescent="0.5">
      <c r="B38" s="22" t="str">
        <f t="shared" ref="B38" si="30">IF(C38="","", B37+1)</f>
        <v/>
      </c>
    </row>
    <row r="39" spans="2:2" x14ac:dyDescent="0.5">
      <c r="B39" s="22" t="str">
        <f t="shared" ref="B39" si="31">IF(C39="", "", B38 + 1)</f>
        <v/>
      </c>
    </row>
    <row r="40" spans="2:2" x14ac:dyDescent="0.5">
      <c r="B40" s="22" t="str">
        <f t="shared" ref="B40" si="32">IF(C40="","", B39+1)</f>
        <v/>
      </c>
    </row>
    <row r="41" spans="2:2" x14ac:dyDescent="0.5">
      <c r="B41" s="22" t="str">
        <f t="shared" ref="B41" si="33">IF(C41="", "", B40 + 1)</f>
        <v/>
      </c>
    </row>
    <row r="42" spans="2:2" x14ac:dyDescent="0.5">
      <c r="B42" s="22" t="str">
        <f t="shared" ref="B42" si="34">IF(C42="","", B41+1)</f>
        <v/>
      </c>
    </row>
    <row r="43" spans="2:2" x14ac:dyDescent="0.5">
      <c r="B43" s="22" t="str">
        <f t="shared" ref="B43" si="35">IF(C43="", "", B42 + 1)</f>
        <v/>
      </c>
    </row>
    <row r="44" spans="2:2" x14ac:dyDescent="0.5">
      <c r="B44" s="22" t="str">
        <f t="shared" ref="B44" si="36">IF(C44="","", B43+1)</f>
        <v/>
      </c>
    </row>
    <row r="45" spans="2:2" x14ac:dyDescent="0.5">
      <c r="B45" s="22" t="str">
        <f t="shared" ref="B45" si="37">IF(C45="", "", B44 + 1)</f>
        <v/>
      </c>
    </row>
    <row r="46" spans="2:2" x14ac:dyDescent="0.5">
      <c r="B46" s="22" t="str">
        <f t="shared" ref="B46" si="38">IF(C46="","", B45+1)</f>
        <v/>
      </c>
    </row>
    <row r="47" spans="2:2" x14ac:dyDescent="0.5">
      <c r="B47" s="22" t="str">
        <f t="shared" ref="B47" si="39">IF(C47="", "", B46 + 1)</f>
        <v/>
      </c>
    </row>
    <row r="48" spans="2:2" x14ac:dyDescent="0.5">
      <c r="B48" s="22" t="str">
        <f t="shared" ref="B48" si="40">IF(C48="","", B47+1)</f>
        <v/>
      </c>
    </row>
    <row r="49" spans="2:2" x14ac:dyDescent="0.5">
      <c r="B49" s="22" t="str">
        <f t="shared" ref="B49" si="41">IF(C49="", "", B48 + 1)</f>
        <v/>
      </c>
    </row>
    <row r="50" spans="2:2" x14ac:dyDescent="0.5">
      <c r="B50" s="22" t="str">
        <f t="shared" ref="B50" si="42">IF(C50="","", B49+1)</f>
        <v/>
      </c>
    </row>
    <row r="51" spans="2:2" x14ac:dyDescent="0.5">
      <c r="B51" s="22" t="str">
        <f t="shared" ref="B51" si="43">IF(C51="", "", B50 + 1)</f>
        <v/>
      </c>
    </row>
    <row r="52" spans="2:2" x14ac:dyDescent="0.5">
      <c r="B52" s="22" t="str">
        <f t="shared" ref="B52" si="44">IF(C52="","", B51+1)</f>
        <v/>
      </c>
    </row>
    <row r="53" spans="2:2" x14ac:dyDescent="0.5">
      <c r="B53" s="22" t="str">
        <f t="shared" ref="B53" si="45">IF(C53="", "", B52 + 1)</f>
        <v/>
      </c>
    </row>
    <row r="54" spans="2:2" x14ac:dyDescent="0.5">
      <c r="B54" s="22" t="str">
        <f t="shared" ref="B54" si="46">IF(C54="","", B53+1)</f>
        <v/>
      </c>
    </row>
    <row r="55" spans="2:2" x14ac:dyDescent="0.5">
      <c r="B55" s="22" t="str">
        <f t="shared" ref="B55" si="47">IF(C55="", "", B54 + 1)</f>
        <v/>
      </c>
    </row>
    <row r="56" spans="2:2" x14ac:dyDescent="0.5">
      <c r="B56" s="22" t="str">
        <f t="shared" ref="B56" si="48">IF(C56="","", B55+1)</f>
        <v/>
      </c>
    </row>
    <row r="57" spans="2:2" x14ac:dyDescent="0.5">
      <c r="B57" s="22" t="str">
        <f t="shared" ref="B57" si="49">IF(C57="", "", B56 + 1)</f>
        <v/>
      </c>
    </row>
    <row r="58" spans="2:2" x14ac:dyDescent="0.5">
      <c r="B58" s="22" t="str">
        <f t="shared" ref="B58" si="50">IF(C58="","", B57+1)</f>
        <v/>
      </c>
    </row>
    <row r="59" spans="2:2" x14ac:dyDescent="0.5">
      <c r="B59" s="22" t="str">
        <f t="shared" ref="B59" si="51">IF(C59="", "", B58 + 1)</f>
        <v/>
      </c>
    </row>
    <row r="60" spans="2:2" x14ac:dyDescent="0.5">
      <c r="B60" s="22" t="str">
        <f t="shared" ref="B60" si="52">IF(C60="","", B59+1)</f>
        <v/>
      </c>
    </row>
    <row r="61" spans="2:2" x14ac:dyDescent="0.5">
      <c r="B61" s="22" t="str">
        <f t="shared" ref="B61" si="53">IF(C61="", "", B60 + 1)</f>
        <v/>
      </c>
    </row>
    <row r="62" spans="2:2" x14ac:dyDescent="0.5">
      <c r="B62" s="22" t="str">
        <f t="shared" ref="B62" si="54">IF(C62="","", B61+1)</f>
        <v/>
      </c>
    </row>
    <row r="63" spans="2:2" x14ac:dyDescent="0.5">
      <c r="B63" s="22" t="str">
        <f t="shared" ref="B63" si="55">IF(C63="", "", B62 + 1)</f>
        <v/>
      </c>
    </row>
    <row r="64" spans="2:2" x14ac:dyDescent="0.5">
      <c r="B64" s="22" t="str">
        <f t="shared" ref="B64" si="56">IF(C64="","", B63+1)</f>
        <v/>
      </c>
    </row>
    <row r="65" spans="2:2" x14ac:dyDescent="0.5">
      <c r="B65" s="22" t="str">
        <f t="shared" ref="B65" si="57">IF(C65="", "", B64 + 1)</f>
        <v/>
      </c>
    </row>
    <row r="66" spans="2:2" x14ac:dyDescent="0.5">
      <c r="B66" s="22" t="str">
        <f t="shared" ref="B66" si="58">IF(C66="","", B65+1)</f>
        <v/>
      </c>
    </row>
    <row r="67" spans="2:2" x14ac:dyDescent="0.5">
      <c r="B67" s="22" t="str">
        <f t="shared" ref="B67" si="59">IF(C67="", "", B66 + 1)</f>
        <v/>
      </c>
    </row>
    <row r="68" spans="2:2" x14ac:dyDescent="0.5">
      <c r="B68" s="22" t="str">
        <f t="shared" ref="B68" si="60">IF(C68="","", B67+1)</f>
        <v/>
      </c>
    </row>
    <row r="69" spans="2:2" x14ac:dyDescent="0.5">
      <c r="B69" s="22" t="str">
        <f t="shared" ref="B69" si="61">IF(C69="", "", B68 + 1)</f>
        <v/>
      </c>
    </row>
    <row r="70" spans="2:2" x14ac:dyDescent="0.5">
      <c r="B70" s="22" t="str">
        <f t="shared" ref="B70" si="62">IF(C70="","", B69+1)</f>
        <v/>
      </c>
    </row>
    <row r="71" spans="2:2" x14ac:dyDescent="0.5">
      <c r="B71" s="22" t="str">
        <f t="shared" ref="B71" si="63">IF(C71="", "", B70 + 1)</f>
        <v/>
      </c>
    </row>
    <row r="72" spans="2:2" x14ac:dyDescent="0.5">
      <c r="B72" s="22" t="str">
        <f t="shared" ref="B72" si="64">IF(C72="","", B71+1)</f>
        <v/>
      </c>
    </row>
    <row r="73" spans="2:2" x14ac:dyDescent="0.5">
      <c r="B73" s="22" t="str">
        <f t="shared" ref="B73" si="65">IF(C73="", "", B72 + 1)</f>
        <v/>
      </c>
    </row>
    <row r="74" spans="2:2" x14ac:dyDescent="0.5">
      <c r="B74" s="22" t="str">
        <f t="shared" ref="B74" si="66">IF(C74="","", B73+1)</f>
        <v/>
      </c>
    </row>
    <row r="75" spans="2:2" x14ac:dyDescent="0.5">
      <c r="B75" s="22" t="str">
        <f t="shared" ref="B75" si="67">IF(C75="", "", B74 + 1)</f>
        <v/>
      </c>
    </row>
    <row r="76" spans="2:2" x14ac:dyDescent="0.5">
      <c r="B76" s="22" t="str">
        <f t="shared" ref="B76" si="68">IF(C76="","", B75+1)</f>
        <v/>
      </c>
    </row>
    <row r="77" spans="2:2" x14ac:dyDescent="0.5">
      <c r="B77" s="22" t="str">
        <f t="shared" ref="B77" si="69">IF(C77="", "", B76 + 1)</f>
        <v/>
      </c>
    </row>
    <row r="78" spans="2:2" x14ac:dyDescent="0.5">
      <c r="B78" s="22" t="str">
        <f t="shared" ref="B78" si="70">IF(C78="","", B77+1)</f>
        <v/>
      </c>
    </row>
    <row r="79" spans="2:2" x14ac:dyDescent="0.5">
      <c r="B79" s="22" t="str">
        <f t="shared" ref="B79" si="71">IF(C79="", "", B78 + 1)</f>
        <v/>
      </c>
    </row>
    <row r="80" spans="2:2" x14ac:dyDescent="0.5">
      <c r="B80" s="22" t="str">
        <f t="shared" ref="B80" si="72">IF(C80="","", B79+1)</f>
        <v/>
      </c>
    </row>
    <row r="81" spans="2:2" x14ac:dyDescent="0.5">
      <c r="B81" s="22" t="str">
        <f t="shared" ref="B81" si="73">IF(C81="", "", B80 + 1)</f>
        <v/>
      </c>
    </row>
    <row r="82" spans="2:2" x14ac:dyDescent="0.5">
      <c r="B82" s="22" t="str">
        <f t="shared" ref="B82" si="74">IF(C82="","", B81+1)</f>
        <v/>
      </c>
    </row>
    <row r="83" spans="2:2" x14ac:dyDescent="0.5">
      <c r="B83" s="22" t="str">
        <f t="shared" ref="B83" si="75">IF(C83="", "", B82 + 1)</f>
        <v/>
      </c>
    </row>
    <row r="84" spans="2:2" x14ac:dyDescent="0.5">
      <c r="B84" s="22" t="str">
        <f t="shared" ref="B84" si="76">IF(C84="","", B83+1)</f>
        <v/>
      </c>
    </row>
    <row r="85" spans="2:2" x14ac:dyDescent="0.5">
      <c r="B85" s="22" t="str">
        <f t="shared" ref="B85" si="77">IF(C85="", "", B84 + 1)</f>
        <v/>
      </c>
    </row>
    <row r="86" spans="2:2" x14ac:dyDescent="0.5">
      <c r="B86" s="22" t="str">
        <f t="shared" ref="B86" si="78">IF(C86="","", B85+1)</f>
        <v/>
      </c>
    </row>
    <row r="87" spans="2:2" x14ac:dyDescent="0.5">
      <c r="B87" s="22" t="str">
        <f t="shared" ref="B87" si="79">IF(C87="", "", B86 + 1)</f>
        <v/>
      </c>
    </row>
    <row r="88" spans="2:2" x14ac:dyDescent="0.5">
      <c r="B88" s="22" t="str">
        <f t="shared" ref="B88" si="80">IF(C88="","", B87+1)</f>
        <v/>
      </c>
    </row>
    <row r="89" spans="2:2" x14ac:dyDescent="0.5">
      <c r="B89" s="22" t="str">
        <f t="shared" ref="B89" si="81">IF(C89="", "", B88 + 1)</f>
        <v/>
      </c>
    </row>
    <row r="90" spans="2:2" x14ac:dyDescent="0.5">
      <c r="B90" s="22" t="str">
        <f t="shared" ref="B90" si="82">IF(C90="","", B89+1)</f>
        <v/>
      </c>
    </row>
    <row r="91" spans="2:2" x14ac:dyDescent="0.5">
      <c r="B91" s="22" t="str">
        <f t="shared" ref="B91" si="83">IF(C91="", "", B90 + 1)</f>
        <v/>
      </c>
    </row>
    <row r="92" spans="2:2" x14ac:dyDescent="0.5">
      <c r="B92" s="22" t="str">
        <f t="shared" ref="B92" si="84">IF(C92="","", B91+1)</f>
        <v/>
      </c>
    </row>
    <row r="93" spans="2:2" x14ac:dyDescent="0.5">
      <c r="B93" s="22" t="str">
        <f t="shared" ref="B93" si="85">IF(C93="", "", B92 + 1)</f>
        <v/>
      </c>
    </row>
    <row r="94" spans="2:2" x14ac:dyDescent="0.5">
      <c r="B94" s="22" t="str">
        <f t="shared" ref="B94" si="86">IF(C94="","", B93+1)</f>
        <v/>
      </c>
    </row>
    <row r="95" spans="2:2" x14ac:dyDescent="0.5">
      <c r="B95" s="22" t="str">
        <f t="shared" ref="B95" si="87">IF(C95="", "", B94 + 1)</f>
        <v/>
      </c>
    </row>
    <row r="96" spans="2:2" x14ac:dyDescent="0.5">
      <c r="B96" s="22" t="str">
        <f t="shared" ref="B96" si="88">IF(C96="","", B95+1)</f>
        <v/>
      </c>
    </row>
    <row r="97" spans="2:2" x14ac:dyDescent="0.5">
      <c r="B97" s="22" t="str">
        <f t="shared" ref="B97" si="89">IF(C97="", "", B96 + 1)</f>
        <v/>
      </c>
    </row>
    <row r="98" spans="2:2" x14ac:dyDescent="0.5">
      <c r="B98" s="22" t="str">
        <f t="shared" ref="B98" si="90">IF(C98="","", B97+1)</f>
        <v/>
      </c>
    </row>
    <row r="99" spans="2:2" x14ac:dyDescent="0.5">
      <c r="B99" s="22" t="str">
        <f t="shared" ref="B99" si="91">IF(C99="", "", B98 + 1)</f>
        <v/>
      </c>
    </row>
    <row r="100" spans="2:2" x14ac:dyDescent="0.5">
      <c r="B100" s="22" t="str">
        <f t="shared" ref="B100" si="92">IF(C100="","", B99+1)</f>
        <v/>
      </c>
    </row>
    <row r="101" spans="2:2" x14ac:dyDescent="0.5">
      <c r="B101" s="22" t="str">
        <f t="shared" ref="B101" si="93">IF(C101="", "", B100 + 1)</f>
        <v/>
      </c>
    </row>
    <row r="102" spans="2:2" x14ac:dyDescent="0.5">
      <c r="B102" s="22" t="str">
        <f t="shared" ref="B102" si="94">IF(C102="","", B101+1)</f>
        <v/>
      </c>
    </row>
    <row r="103" spans="2:2" x14ac:dyDescent="0.5">
      <c r="B103" s="22" t="str">
        <f t="shared" ref="B103" si="95">IF(C103="", "", B102 + 1)</f>
        <v/>
      </c>
    </row>
    <row r="104" spans="2:2" x14ac:dyDescent="0.5">
      <c r="B104" s="22" t="str">
        <f t="shared" ref="B104" si="96">IF(C104="","", B103+1)</f>
        <v/>
      </c>
    </row>
    <row r="105" spans="2:2" x14ac:dyDescent="0.5">
      <c r="B105" s="22" t="str">
        <f t="shared" ref="B105" si="97">IF(C105="", "", B104 + 1)</f>
        <v/>
      </c>
    </row>
    <row r="106" spans="2:2" x14ac:dyDescent="0.5">
      <c r="B106" s="22" t="str">
        <f t="shared" ref="B106" si="98">IF(C106="","", B105+1)</f>
        <v/>
      </c>
    </row>
    <row r="107" spans="2:2" x14ac:dyDescent="0.5">
      <c r="B107" s="22" t="str">
        <f t="shared" ref="B107" si="99">IF(C107="", "", B106 + 1)</f>
        <v/>
      </c>
    </row>
    <row r="108" spans="2:2" x14ac:dyDescent="0.5">
      <c r="B108" s="22" t="str">
        <f t="shared" ref="B108" si="100">IF(C108="","", B107+1)</f>
        <v/>
      </c>
    </row>
    <row r="109" spans="2:2" x14ac:dyDescent="0.5">
      <c r="B109" s="22" t="str">
        <f t="shared" ref="B109" si="101">IF(C109="", "", B108 + 1)</f>
        <v/>
      </c>
    </row>
    <row r="110" spans="2:2" x14ac:dyDescent="0.5">
      <c r="B110" s="22" t="str">
        <f t="shared" ref="B110" si="102">IF(C110="","", B109+1)</f>
        <v/>
      </c>
    </row>
    <row r="111" spans="2:2" x14ac:dyDescent="0.5">
      <c r="B111" s="22" t="str">
        <f t="shared" ref="B111" si="103">IF(C111="", "", B110 + 1)</f>
        <v/>
      </c>
    </row>
    <row r="112" spans="2:2" x14ac:dyDescent="0.5">
      <c r="B112" s="22" t="str">
        <f t="shared" ref="B112" si="104">IF(C112="","", B111+1)</f>
        <v/>
      </c>
    </row>
    <row r="113" spans="2:2" x14ac:dyDescent="0.5">
      <c r="B113" s="22" t="str">
        <f t="shared" ref="B113" si="105">IF(C113="", "", B112 + 1)</f>
        <v/>
      </c>
    </row>
    <row r="114" spans="2:2" x14ac:dyDescent="0.5">
      <c r="B114" s="22" t="str">
        <f t="shared" ref="B114" si="106">IF(C114="","", B113+1)</f>
        <v/>
      </c>
    </row>
    <row r="115" spans="2:2" x14ac:dyDescent="0.5">
      <c r="B115" s="22" t="str">
        <f t="shared" ref="B115" si="107">IF(C115="", "", B114 + 1)</f>
        <v/>
      </c>
    </row>
    <row r="116" spans="2:2" x14ac:dyDescent="0.5">
      <c r="B116" s="22" t="str">
        <f t="shared" ref="B116" si="108">IF(C116="","", B115+1)</f>
        <v/>
      </c>
    </row>
    <row r="117" spans="2:2" x14ac:dyDescent="0.5">
      <c r="B117" s="22" t="str">
        <f t="shared" ref="B117" si="109">IF(C117="", "", B116 + 1)</f>
        <v/>
      </c>
    </row>
    <row r="118" spans="2:2" x14ac:dyDescent="0.5">
      <c r="B118" s="22" t="str">
        <f t="shared" ref="B118" si="110">IF(C118="","", B117+1)</f>
        <v/>
      </c>
    </row>
    <row r="119" spans="2:2" x14ac:dyDescent="0.5">
      <c r="B119" s="22" t="str">
        <f t="shared" ref="B119" si="111">IF(C119="", "", B118 + 1)</f>
        <v/>
      </c>
    </row>
    <row r="120" spans="2:2" x14ac:dyDescent="0.5">
      <c r="B120" s="22" t="str">
        <f t="shared" ref="B120" si="112">IF(C120="","", B119+1)</f>
        <v/>
      </c>
    </row>
    <row r="121" spans="2:2" x14ac:dyDescent="0.5">
      <c r="B121" s="22" t="str">
        <f t="shared" ref="B121" si="113">IF(C121="", "", B120 + 1)</f>
        <v/>
      </c>
    </row>
    <row r="122" spans="2:2" x14ac:dyDescent="0.5">
      <c r="B122" s="22" t="str">
        <f t="shared" ref="B122" si="114">IF(C122="","", B121+1)</f>
        <v/>
      </c>
    </row>
    <row r="123" spans="2:2" x14ac:dyDescent="0.5">
      <c r="B123" s="22" t="str">
        <f t="shared" ref="B123" si="115">IF(C123="", "", B122 + 1)</f>
        <v/>
      </c>
    </row>
    <row r="124" spans="2:2" x14ac:dyDescent="0.5">
      <c r="B124" s="22" t="str">
        <f t="shared" ref="B124" si="116">IF(C124="","", B123+1)</f>
        <v/>
      </c>
    </row>
    <row r="125" spans="2:2" x14ac:dyDescent="0.5">
      <c r="B125" s="22" t="str">
        <f t="shared" ref="B125" si="117">IF(C125="", "", B124 + 1)</f>
        <v/>
      </c>
    </row>
    <row r="126" spans="2:2" x14ac:dyDescent="0.5">
      <c r="B126" s="22" t="str">
        <f t="shared" ref="B126" si="118">IF(C126="","", B125+1)</f>
        <v/>
      </c>
    </row>
    <row r="127" spans="2:2" x14ac:dyDescent="0.5">
      <c r="B127" s="22" t="str">
        <f t="shared" ref="B127" si="119">IF(C127="", "", B126 + 1)</f>
        <v/>
      </c>
    </row>
    <row r="128" spans="2:2" x14ac:dyDescent="0.5">
      <c r="B128" s="22" t="str">
        <f t="shared" ref="B128" si="120">IF(C128="","", B127+1)</f>
        <v/>
      </c>
    </row>
    <row r="129" spans="2:2" x14ac:dyDescent="0.5">
      <c r="B129" s="22" t="str">
        <f t="shared" ref="B129" si="121">IF(C129="", "", B128 + 1)</f>
        <v/>
      </c>
    </row>
    <row r="130" spans="2:2" x14ac:dyDescent="0.5">
      <c r="B130" s="22" t="str">
        <f t="shared" ref="B130" si="122">IF(C130="","", B129+1)</f>
        <v/>
      </c>
    </row>
    <row r="131" spans="2:2" x14ac:dyDescent="0.5">
      <c r="B131" s="22" t="str">
        <f t="shared" ref="B131" si="123">IF(C131="", "", B130 + 1)</f>
        <v/>
      </c>
    </row>
    <row r="132" spans="2:2" x14ac:dyDescent="0.5">
      <c r="B132" s="22" t="str">
        <f t="shared" ref="B132" si="124">IF(C132="","", B131+1)</f>
        <v/>
      </c>
    </row>
    <row r="133" spans="2:2" x14ac:dyDescent="0.5">
      <c r="B133" s="22" t="str">
        <f t="shared" ref="B133" si="125">IF(C133="", "", B132 + 1)</f>
        <v/>
      </c>
    </row>
    <row r="134" spans="2:2" x14ac:dyDescent="0.5">
      <c r="B134" s="22" t="str">
        <f t="shared" ref="B134" si="126">IF(C134="","", B133+1)</f>
        <v/>
      </c>
    </row>
    <row r="135" spans="2:2" x14ac:dyDescent="0.5">
      <c r="B135" s="22" t="str">
        <f t="shared" ref="B135" si="127">IF(C135="", "", B134 + 1)</f>
        <v/>
      </c>
    </row>
    <row r="136" spans="2:2" x14ac:dyDescent="0.5">
      <c r="B136" s="22" t="str">
        <f t="shared" ref="B136" si="128">IF(C136="","", B135+1)</f>
        <v/>
      </c>
    </row>
    <row r="137" spans="2:2" x14ac:dyDescent="0.5">
      <c r="B137" s="22" t="str">
        <f t="shared" ref="B137" si="129">IF(C137="", "", B136 + 1)</f>
        <v/>
      </c>
    </row>
    <row r="138" spans="2:2" x14ac:dyDescent="0.5">
      <c r="B138" s="22" t="str">
        <f t="shared" ref="B138" si="130">IF(C138="","", B137+1)</f>
        <v/>
      </c>
    </row>
    <row r="139" spans="2:2" x14ac:dyDescent="0.5">
      <c r="B139" s="22" t="str">
        <f t="shared" ref="B139" si="131">IF(C139="", "", B138 + 1)</f>
        <v/>
      </c>
    </row>
    <row r="140" spans="2:2" x14ac:dyDescent="0.5">
      <c r="B140" s="22" t="str">
        <f t="shared" ref="B140" si="132">IF(C140="","", B139+1)</f>
        <v/>
      </c>
    </row>
    <row r="141" spans="2:2" x14ac:dyDescent="0.5">
      <c r="B141" s="22" t="str">
        <f t="shared" ref="B141" si="133">IF(C141="", "", B140 + 1)</f>
        <v/>
      </c>
    </row>
    <row r="142" spans="2:2" x14ac:dyDescent="0.5">
      <c r="B142" s="22" t="str">
        <f t="shared" ref="B142" si="134">IF(C142="","", B141+1)</f>
        <v/>
      </c>
    </row>
    <row r="143" spans="2:2" x14ac:dyDescent="0.5">
      <c r="B143" s="22" t="str">
        <f t="shared" ref="B143" si="135">IF(C143="", "", B142 + 1)</f>
        <v/>
      </c>
    </row>
    <row r="144" spans="2:2" x14ac:dyDescent="0.5">
      <c r="B144" s="22" t="str">
        <f t="shared" ref="B144" si="136">IF(C144="","", B143+1)</f>
        <v/>
      </c>
    </row>
    <row r="145" spans="2:2" x14ac:dyDescent="0.5">
      <c r="B145" s="22" t="str">
        <f t="shared" ref="B145" si="137">IF(C145="", "", B144 + 1)</f>
        <v/>
      </c>
    </row>
    <row r="146" spans="2:2" x14ac:dyDescent="0.5">
      <c r="B146" s="22" t="str">
        <f t="shared" ref="B146" si="138">IF(C146="","", B145+1)</f>
        <v/>
      </c>
    </row>
    <row r="147" spans="2:2" x14ac:dyDescent="0.5">
      <c r="B147" s="22" t="str">
        <f t="shared" ref="B147" si="139">IF(C147="", "", B146 + 1)</f>
        <v/>
      </c>
    </row>
    <row r="148" spans="2:2" x14ac:dyDescent="0.5">
      <c r="B148" s="22" t="str">
        <f t="shared" ref="B148" si="140">IF(C148="","", B147+1)</f>
        <v/>
      </c>
    </row>
    <row r="149" spans="2:2" x14ac:dyDescent="0.5">
      <c r="B149" s="22" t="str">
        <f t="shared" ref="B149" si="141">IF(C149="", "", B148 + 1)</f>
        <v/>
      </c>
    </row>
    <row r="150" spans="2:2" x14ac:dyDescent="0.5">
      <c r="B150" s="22" t="str">
        <f t="shared" ref="B150" si="142">IF(C150="","", B149+1)</f>
        <v/>
      </c>
    </row>
    <row r="151" spans="2:2" x14ac:dyDescent="0.5">
      <c r="B151" s="22" t="str">
        <f t="shared" ref="B151" si="143">IF(C151="", "", B150 + 1)</f>
        <v/>
      </c>
    </row>
    <row r="152" spans="2:2" x14ac:dyDescent="0.5">
      <c r="B152" s="22" t="str">
        <f t="shared" ref="B152" si="144">IF(C152="","", B151+1)</f>
        <v/>
      </c>
    </row>
    <row r="153" spans="2:2" x14ac:dyDescent="0.5">
      <c r="B153" s="22" t="str">
        <f t="shared" ref="B153" si="145">IF(C153="", "", B152 + 1)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ShowMainMenu_Click">
                <anchor moveWithCells="1" sizeWithCells="1">
                  <from>
                    <xdr:col>3</xdr:col>
                    <xdr:colOff>905933</xdr:colOff>
                    <xdr:row>0</xdr:row>
                    <xdr:rowOff>131233</xdr:rowOff>
                  </from>
                  <to>
                    <xdr:col>5</xdr:col>
                    <xdr:colOff>385233</xdr:colOff>
                    <xdr:row>2</xdr:row>
                    <xdr:rowOff>59267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9D1FE-505E-4A08-9ED4-A612B6E93707}">
  <sheetPr codeName="Sheet9"/>
  <dimension ref="B4:E16"/>
  <sheetViews>
    <sheetView showGridLines="0" tabSelected="1" workbookViewId="0">
      <selection activeCell="H14" sqref="H14"/>
    </sheetView>
  </sheetViews>
  <sheetFormatPr defaultRowHeight="14.35" x14ac:dyDescent="0.5"/>
  <cols>
    <col min="2" max="2" width="8.9375" style="22"/>
    <col min="3" max="3" width="16.05859375" style="22" customWidth="1"/>
    <col min="4" max="4" width="15.9375" style="22" bestFit="1" customWidth="1"/>
    <col min="5" max="5" width="8.9375" style="22"/>
  </cols>
  <sheetData>
    <row r="4" spans="2:5" ht="23.35" x14ac:dyDescent="0.5">
      <c r="B4" s="21" t="s">
        <v>111</v>
      </c>
    </row>
    <row r="5" spans="2:5" x14ac:dyDescent="0.5">
      <c r="B5" s="33"/>
      <c r="C5" s="33"/>
      <c r="D5" s="33"/>
      <c r="E5" s="33"/>
    </row>
    <row r="6" spans="2:5" x14ac:dyDescent="0.5">
      <c r="B6" s="33"/>
      <c r="C6" s="33"/>
      <c r="D6" s="33"/>
      <c r="E6" s="33"/>
    </row>
    <row r="7" spans="2:5" x14ac:dyDescent="0.5">
      <c r="B7" s="33"/>
      <c r="C7" s="33"/>
      <c r="D7" s="33"/>
      <c r="E7" s="33"/>
    </row>
    <row r="8" spans="2:5" x14ac:dyDescent="0.5">
      <c r="B8" s="49" t="s">
        <v>77</v>
      </c>
      <c r="C8" s="49" t="s">
        <v>66</v>
      </c>
      <c r="D8" s="49" t="s">
        <v>67</v>
      </c>
      <c r="E8" s="49" t="s">
        <v>68</v>
      </c>
    </row>
    <row r="9" spans="2:5" x14ac:dyDescent="0.5">
      <c r="B9" s="22">
        <v>1</v>
      </c>
      <c r="C9" s="22" t="s">
        <v>69</v>
      </c>
      <c r="D9" s="22">
        <v>8</v>
      </c>
      <c r="E9" s="22">
        <v>0.01</v>
      </c>
    </row>
    <row r="10" spans="2:5" x14ac:dyDescent="0.5">
      <c r="B10" s="22">
        <v>2</v>
      </c>
      <c r="C10" s="22" t="s">
        <v>70</v>
      </c>
      <c r="D10" s="22">
        <v>1</v>
      </c>
      <c r="E10" s="22">
        <v>0.05</v>
      </c>
    </row>
    <row r="11" spans="2:5" x14ac:dyDescent="0.5">
      <c r="B11" s="22">
        <v>3</v>
      </c>
      <c r="C11" s="22" t="s">
        <v>71</v>
      </c>
      <c r="D11" s="22">
        <v>1</v>
      </c>
      <c r="E11" s="22">
        <v>0.05</v>
      </c>
    </row>
    <row r="12" spans="2:5" x14ac:dyDescent="0.5">
      <c r="B12" s="22">
        <v>4</v>
      </c>
      <c r="C12" s="22" t="s">
        <v>72</v>
      </c>
      <c r="D12" s="22">
        <v>1</v>
      </c>
      <c r="E12" s="22">
        <v>0.1</v>
      </c>
    </row>
    <row r="13" spans="2:5" x14ac:dyDescent="0.5">
      <c r="B13" s="22">
        <v>5</v>
      </c>
      <c r="C13" s="22" t="s">
        <v>73</v>
      </c>
      <c r="D13" s="22">
        <v>4</v>
      </c>
      <c r="E13" s="22">
        <v>0.01</v>
      </c>
    </row>
    <row r="14" spans="2:5" x14ac:dyDescent="0.5">
      <c r="B14" s="22">
        <v>6</v>
      </c>
      <c r="C14" s="22" t="s">
        <v>74</v>
      </c>
      <c r="D14" s="22">
        <v>1</v>
      </c>
      <c r="E14" s="22">
        <v>0.1</v>
      </c>
    </row>
    <row r="15" spans="2:5" x14ac:dyDescent="0.5">
      <c r="B15" s="22">
        <v>7</v>
      </c>
      <c r="C15" s="22" t="s">
        <v>75</v>
      </c>
      <c r="D15" s="22">
        <v>1</v>
      </c>
      <c r="E15" s="22">
        <v>0.1</v>
      </c>
    </row>
    <row r="16" spans="2:5" x14ac:dyDescent="0.5">
      <c r="B16" s="22">
        <v>8</v>
      </c>
      <c r="C16" s="22" t="s">
        <v>76</v>
      </c>
      <c r="D16" s="22">
        <v>1</v>
      </c>
      <c r="E16" s="22">
        <v>0.05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inMenu_Click">
                <anchor moveWithCells="1" sizeWithCells="1">
                  <from>
                    <xdr:col>2</xdr:col>
                    <xdr:colOff>618067</xdr:colOff>
                    <xdr:row>2</xdr:row>
                    <xdr:rowOff>152400</xdr:rowOff>
                  </from>
                  <to>
                    <xdr:col>3</xdr:col>
                    <xdr:colOff>706967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Main_Menu</vt:lpstr>
      <vt:lpstr>Customers</vt:lpstr>
      <vt:lpstr>Vendors</vt:lpstr>
      <vt:lpstr>Employees</vt:lpstr>
      <vt:lpstr>Payroll_Payments</vt:lpstr>
      <vt:lpstr>Income_Statement</vt:lpstr>
      <vt:lpstr>Balance_sheet</vt:lpstr>
      <vt:lpstr>Inventory</vt:lpstr>
      <vt:lpstr>Invoices</vt:lpstr>
      <vt:lpstr>Purchase_Orders</vt:lpstr>
      <vt:lpstr>Items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Vaitha, Sidharth</dc:creator>
  <cp:lastModifiedBy>sid</cp:lastModifiedBy>
  <dcterms:created xsi:type="dcterms:W3CDTF">2018-04-15T20:53:06Z</dcterms:created>
  <dcterms:modified xsi:type="dcterms:W3CDTF">2018-04-22T21:01:31Z</dcterms:modified>
</cp:coreProperties>
</file>