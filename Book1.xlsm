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drawings/drawing6.xml" ContentType="application/vnd.openxmlformats-officedocument.drawing+xml"/>
  <Override PartName="/xl/ctrlProps/ctrlProp20.xml" ContentType="application/vnd.ms-excel.controlproperties+xml"/>
  <Override PartName="/xl/drawings/drawing7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8.xml" ContentType="application/vnd.openxmlformats-officedocument.drawing+xml"/>
  <Override PartName="/xl/ctrlProps/ctrlProp23.xml" ContentType="application/vnd.ms-excel.controlproperties+xml"/>
  <Override PartName="/xl/drawings/drawing9.xml" ContentType="application/vnd.openxmlformats-officedocument.drawing+xml"/>
  <Override PartName="/xl/ctrlProps/ctrlProp24.xml" ContentType="application/vnd.ms-excel.controlproperties+xml"/>
  <Override PartName="/xl/drawings/drawing10.xml" ContentType="application/vnd.openxmlformats-officedocument.drawing+xml"/>
  <Override PartName="/xl/ctrlProps/ctrlProp25.xml" ContentType="application/vnd.ms-excel.controlproperties+xml"/>
  <Override PartName="/xl/drawings/drawing11.xml" ContentType="application/vnd.openxmlformats-officedocument.drawing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id\Desktop\TE\TE566\"/>
    </mc:Choice>
  </mc:AlternateContent>
  <xr:revisionPtr revIDLastSave="0" documentId="13_ncr:1_{159EEF51-6115-4D55-9E2A-1349B761F78D}" xr6:coauthVersionLast="31" xr6:coauthVersionMax="31" xr10:uidLastSave="{00000000-0000-0000-0000-000000000000}"/>
  <bookViews>
    <workbookView xWindow="0" yWindow="0" windowWidth="28800" windowHeight="12227" tabRatio="593" firstSheet="2" activeTab="8" xr2:uid="{9E34826B-AEF4-4B5B-A16C-E0CEF96E96D8}"/>
  </bookViews>
  <sheets>
    <sheet name="Main_Menu" sheetId="1" r:id="rId1"/>
    <sheet name="Customers" sheetId="3" r:id="rId2"/>
    <sheet name="Vendors" sheetId="4" r:id="rId3"/>
    <sheet name="Employees" sheetId="2" r:id="rId4"/>
    <sheet name="Payroll_Payments" sheetId="5" r:id="rId5"/>
    <sheet name="Income_Statement" sheetId="6" r:id="rId6"/>
    <sheet name="Balance_sheet" sheetId="7" r:id="rId7"/>
    <sheet name="Inventory" sheetId="8" r:id="rId8"/>
    <sheet name="Invoices" sheetId="10" r:id="rId9"/>
    <sheet name="Purchase_Orders" sheetId="11" r:id="rId10"/>
    <sheet name="Items" sheetId="9" r:id="rId1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5" l="1"/>
  <c r="K5" i="10"/>
  <c r="D14" i="6"/>
  <c r="K6" i="10" l="1"/>
  <c r="K7" i="10"/>
  <c r="G12" i="7"/>
  <c r="G9" i="7"/>
  <c r="F9" i="8"/>
  <c r="F10" i="8"/>
  <c r="F11" i="8"/>
  <c r="F12" i="8"/>
  <c r="F13" i="8"/>
  <c r="F14" i="8"/>
  <c r="F15" i="8"/>
  <c r="F8" i="8"/>
  <c r="G14" i="7" l="1"/>
  <c r="G18" i="7"/>
  <c r="E9" i="7"/>
  <c r="E14" i="7"/>
  <c r="I5" i="5"/>
  <c r="J9" i="8"/>
  <c r="E9" i="8"/>
  <c r="E10" i="8"/>
  <c r="E11" i="8"/>
  <c r="E12" i="8"/>
  <c r="E13" i="8"/>
  <c r="E14" i="8"/>
  <c r="E15" i="8"/>
  <c r="E8" i="8"/>
  <c r="K13" i="8" l="1"/>
  <c r="G20" i="7"/>
  <c r="E17" i="7"/>
  <c r="D8" i="6"/>
  <c r="D16" i="6" s="1"/>
  <c r="D17" i="6" l="1"/>
  <c r="D18" i="6" s="1"/>
</calcChain>
</file>

<file path=xl/sharedStrings.xml><?xml version="1.0" encoding="utf-8"?>
<sst xmlns="http://schemas.openxmlformats.org/spreadsheetml/2006/main" count="153" uniqueCount="106">
  <si>
    <t>Last Name</t>
  </si>
  <si>
    <t>First Name</t>
  </si>
  <si>
    <t>Address Line 1</t>
  </si>
  <si>
    <t>Address Line 2</t>
  </si>
  <si>
    <t>City</t>
  </si>
  <si>
    <t>State</t>
  </si>
  <si>
    <t>Zip</t>
  </si>
  <si>
    <t>Social Security #</t>
  </si>
  <si>
    <t>Salary</t>
  </si>
  <si>
    <t>Company Name</t>
  </si>
  <si>
    <t>Vendor Name</t>
  </si>
  <si>
    <t xml:space="preserve">Part </t>
  </si>
  <si>
    <t>Price/Unit</t>
  </si>
  <si>
    <t>Date Paid</t>
  </si>
  <si>
    <t>Employee</t>
  </si>
  <si>
    <t>Disbursement</t>
  </si>
  <si>
    <t>Total Payroll Expenses</t>
  </si>
  <si>
    <t>Total Witholding</t>
  </si>
  <si>
    <t>Sales</t>
  </si>
  <si>
    <t>COGS</t>
  </si>
  <si>
    <t>Gross Profit</t>
  </si>
  <si>
    <t>Expenses</t>
  </si>
  <si>
    <t>Payroll</t>
  </si>
  <si>
    <t>Payroll Withholding</t>
  </si>
  <si>
    <t>Bills</t>
  </si>
  <si>
    <t>Operating Income</t>
  </si>
  <si>
    <t>Income Taxes</t>
  </si>
  <si>
    <t>Net Income</t>
  </si>
  <si>
    <t>Income Statement</t>
  </si>
  <si>
    <t>Cash</t>
  </si>
  <si>
    <t>Accounts Receivable</t>
  </si>
  <si>
    <t>Inventory</t>
  </si>
  <si>
    <t>Total Current Assets</t>
  </si>
  <si>
    <t>Land/Buildings</t>
  </si>
  <si>
    <t>Equipment</t>
  </si>
  <si>
    <t>Furniture and Fixtures</t>
  </si>
  <si>
    <t>Total Assets</t>
  </si>
  <si>
    <t>Total Fixed Assets</t>
  </si>
  <si>
    <t>Accounts Payable</t>
  </si>
  <si>
    <t>Notes Payable</t>
  </si>
  <si>
    <t>Accurals</t>
  </si>
  <si>
    <t>Total Current Liabilities</t>
  </si>
  <si>
    <t>Mortgage</t>
  </si>
  <si>
    <t>Total Long Term Debt</t>
  </si>
  <si>
    <t xml:space="preserve">Total Liabilities </t>
  </si>
  <si>
    <t>ASSETS</t>
  </si>
  <si>
    <t>LIABILITIES AND NET WORTH</t>
  </si>
  <si>
    <t>Part</t>
  </si>
  <si>
    <t xml:space="preserve">Quantity </t>
  </si>
  <si>
    <t>Value</t>
  </si>
  <si>
    <t>ReOrder</t>
  </si>
  <si>
    <t xml:space="preserve">Total Complete units that can be  </t>
  </si>
  <si>
    <t>built from current inventroy</t>
  </si>
  <si>
    <t>Item</t>
  </si>
  <si>
    <t xml:space="preserve">Quantity Per Truck </t>
  </si>
  <si>
    <t xml:space="preserve">Unit Cost </t>
  </si>
  <si>
    <t>Wheels</t>
  </si>
  <si>
    <t>Windshield Glass</t>
  </si>
  <si>
    <t>Interior</t>
  </si>
  <si>
    <t>Tank</t>
  </si>
  <si>
    <t>Axles</t>
  </si>
  <si>
    <t>Cab</t>
  </si>
  <si>
    <t>Body</t>
  </si>
  <si>
    <t>Box (packaging)</t>
  </si>
  <si>
    <t>No.</t>
  </si>
  <si>
    <t>Invoice Number</t>
  </si>
  <si>
    <t>Customer</t>
  </si>
  <si>
    <t>Total</t>
  </si>
  <si>
    <t>Invoices</t>
  </si>
  <si>
    <t>Total Sales</t>
  </si>
  <si>
    <t>Cogs</t>
  </si>
  <si>
    <t>PO Number</t>
  </si>
  <si>
    <t>Supplier</t>
  </si>
  <si>
    <t>Price/Part</t>
  </si>
  <si>
    <t>Date</t>
  </si>
  <si>
    <t>Net Worth Beginning</t>
  </si>
  <si>
    <t>Net Worth Ending</t>
  </si>
  <si>
    <t xml:space="preserve">Net Worth and Liabilities </t>
  </si>
  <si>
    <t>Total Value of Inventory</t>
  </si>
  <si>
    <t>Employees</t>
  </si>
  <si>
    <t>Vendors</t>
  </si>
  <si>
    <t>Customers</t>
  </si>
  <si>
    <t>Payroll Payments</t>
  </si>
  <si>
    <t>Purchase Orders</t>
  </si>
  <si>
    <t>Items</t>
  </si>
  <si>
    <t>Balance Sheet</t>
  </si>
  <si>
    <t>ABC</t>
  </si>
  <si>
    <t>XYZ</t>
  </si>
  <si>
    <t xml:space="preserve">Total Units Sold </t>
  </si>
  <si>
    <t>Witholding Amount</t>
  </si>
  <si>
    <t>Witholding Pecentage</t>
  </si>
  <si>
    <t xml:space="preserve"> Withholdings Percentage</t>
  </si>
  <si>
    <t>Total Annual Expenses</t>
  </si>
  <si>
    <t>Mr. TRUCK Inc</t>
  </si>
  <si>
    <t>Second</t>
  </si>
  <si>
    <t>dkha</t>
  </si>
  <si>
    <t>Lastname</t>
  </si>
  <si>
    <t>Name</t>
  </si>
  <si>
    <t>TestLast</t>
  </si>
  <si>
    <t>TestFirst</t>
  </si>
  <si>
    <t>Vendor1</t>
  </si>
  <si>
    <t>Bangalore</t>
  </si>
  <si>
    <t>KA</t>
  </si>
  <si>
    <t>TestFistName</t>
  </si>
  <si>
    <t>Second Employee</t>
  </si>
  <si>
    <t>TestFistName Employee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</si>
</sst>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74">
    <xf numFmtId="0" fontId="0" fillId="0" borderId="0" xfId="0"/>
    <xf numFmtId="0" fontId="0" fillId="0" borderId="0" xfId="0" applyBorder="1"/>
    <xf numFmtId="0" fontId="2" fillId="0" borderId="2" xfId="0" applyFont="1" applyFill="1" applyBorder="1"/>
    <xf numFmtId="0" fontId="0" fillId="0" borderId="3" xfId="0" applyBorder="1"/>
    <xf numFmtId="0" fontId="2" fillId="0" borderId="4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4" xfId="0" applyBorder="1"/>
    <xf numFmtId="0" fontId="2" fillId="0" borderId="6" xfId="0" applyFont="1" applyBorder="1"/>
    <xf numFmtId="0" fontId="2" fillId="0" borderId="0" xfId="0" applyFont="1" applyBorder="1"/>
    <xf numFmtId="0" fontId="0" fillId="0" borderId="6" xfId="0" applyFill="1" applyBorder="1" applyAlignment="1">
      <alignment horizontal="center"/>
    </xf>
    <xf numFmtId="0" fontId="0" fillId="0" borderId="10" xfId="0" applyBorder="1"/>
    <xf numFmtId="0" fontId="2" fillId="0" borderId="2" xfId="0" applyFont="1" applyFill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/>
    </xf>
    <xf numFmtId="0" fontId="0" fillId="0" borderId="2" xfId="0" applyBorder="1"/>
    <xf numFmtId="0" fontId="0" fillId="0" borderId="11" xfId="0" applyBorder="1"/>
    <xf numFmtId="0" fontId="5" fillId="0" borderId="0" xfId="0" applyFont="1" applyBorder="1"/>
    <xf numFmtId="0" fontId="4" fillId="0" borderId="0" xfId="0" applyFont="1" applyBorder="1" applyAlignment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Font="1" applyBorder="1"/>
    <xf numFmtId="44" fontId="0" fillId="0" borderId="0" xfId="1" applyFont="1"/>
    <xf numFmtId="44" fontId="0" fillId="0" borderId="0" xfId="1" applyFont="1" applyBorder="1"/>
    <xf numFmtId="44" fontId="0" fillId="0" borderId="0" xfId="1" applyFont="1" applyAlignment="1">
      <alignment horizontal="center" vertical="center"/>
    </xf>
    <xf numFmtId="0" fontId="0" fillId="2" borderId="9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44" fontId="0" fillId="0" borderId="0" xfId="1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0" borderId="0" xfId="0" applyFont="1" applyBorder="1"/>
    <xf numFmtId="0" fontId="3" fillId="0" borderId="0" xfId="0" applyFont="1"/>
    <xf numFmtId="44" fontId="0" fillId="0" borderId="7" xfId="1" applyFont="1" applyBorder="1"/>
    <xf numFmtId="44" fontId="0" fillId="0" borderId="5" xfId="1" applyFont="1" applyBorder="1"/>
    <xf numFmtId="44" fontId="0" fillId="0" borderId="0" xfId="1" applyFont="1" applyFill="1" applyBorder="1" applyAlignment="1">
      <alignment horizontal="center" vertical="center"/>
    </xf>
    <xf numFmtId="44" fontId="0" fillId="0" borderId="10" xfId="1" applyFont="1" applyBorder="1" applyAlignment="1">
      <alignment horizontal="center" vertical="center"/>
    </xf>
    <xf numFmtId="44" fontId="0" fillId="0" borderId="7" xfId="1" applyFont="1" applyFill="1" applyBorder="1" applyAlignment="1">
      <alignment horizontal="center" vertical="center"/>
    </xf>
    <xf numFmtId="44" fontId="0" fillId="0" borderId="7" xfId="1" applyFont="1" applyBorder="1" applyAlignment="1">
      <alignment horizontal="center" vertical="center"/>
    </xf>
    <xf numFmtId="44" fontId="0" fillId="0" borderId="5" xfId="1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4" fontId="2" fillId="0" borderId="7" xfId="1" applyFont="1" applyBorder="1"/>
    <xf numFmtId="44" fontId="2" fillId="0" borderId="5" xfId="1" applyFont="1" applyBorder="1"/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44" fontId="2" fillId="0" borderId="1" xfId="1" applyFont="1" applyFill="1" applyBorder="1" applyAlignment="1">
      <alignment horizontal="center" vertical="center"/>
    </xf>
    <xf numFmtId="44" fontId="2" fillId="0" borderId="1" xfId="1" applyFont="1" applyBorder="1" applyAlignment="1">
      <alignment horizontal="center" vertical="center"/>
    </xf>
    <xf numFmtId="0" fontId="2" fillId="2" borderId="8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7" fontId="0" fillId="0" borderId="0" xfId="1" applyNumberFormat="1" applyFont="1" applyAlignment="1">
      <alignment horizontal="center" vertical="center"/>
    </xf>
    <xf numFmtId="7" fontId="0" fillId="0" borderId="7" xfId="1" applyNumberFormat="1" applyFont="1" applyBorder="1"/>
    <xf numFmtId="0" fontId="2" fillId="0" borderId="0" xfId="0" applyFont="1" applyFill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164" fontId="0" fillId="0" borderId="0" xfId="1" applyNumberFormat="1" applyFont="1" applyBorder="1" applyAlignment="1">
      <alignment horizontal="center" vertical="center"/>
    </xf>
    <xf numFmtId="0" fontId="2" fillId="0" borderId="0" xfId="0" applyFont="1"/>
    <xf numFmtId="0" fontId="2" fillId="0" borderId="6" xfId="0" applyFont="1" applyBorder="1" applyAlignment="1">
      <alignment horizontal="center"/>
    </xf>
    <xf numFmtId="164" fontId="2" fillId="0" borderId="7" xfId="0" applyNumberFormat="1" applyFont="1" applyBorder="1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4" fontId="0" fillId="0" borderId="0" xfId="0" applyNumberFormat="1"/>
    <xf numFmtId="14" fontId="2" fillId="0" borderId="0" xfId="0" applyNumberFormat="1" applyFont="1"/>
    <xf numFmtId="14" fontId="0" fillId="0" borderId="0" xfId="0" applyNumberFormat="1" applyAlignment="1">
      <alignment horizontal="center" vertical="center"/>
    </xf>
    <xf numFmtId="9" fontId="0" fillId="0" borderId="0" xfId="2" applyFont="1" applyAlignment="1">
      <alignment horizontal="center" vertical="center"/>
    </xf>
    <xf numFmtId="9" fontId="0" fillId="0" borderId="0" xfId="2" applyFont="1" applyBorder="1" applyAlignment="1">
      <alignment horizontal="center" vertical="center"/>
    </xf>
    <xf numFmtId="9" fontId="2" fillId="0" borderId="1" xfId="2" applyFont="1" applyBorder="1" applyAlignment="1">
      <alignment horizontal="center" vertical="center"/>
    </xf>
    <xf numFmtId="9" fontId="0" fillId="0" borderId="0" xfId="2" applyFont="1" applyBorder="1"/>
    <xf numFmtId="44" fontId="0" fillId="0" borderId="3" xfId="1" applyFont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622299</xdr:colOff>
          <xdr:row>8</xdr:row>
          <xdr:rowOff>84667</xdr:rowOff>
        </xdr:from>
        <xdr:to>
          <xdr:col>4</xdr:col>
          <xdr:colOff>63499</xdr:colOff>
          <xdr:row>10</xdr:row>
          <xdr:rowOff>86360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Employee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622299</xdr:colOff>
          <xdr:row>5</xdr:row>
          <xdr:rowOff>8467</xdr:rowOff>
        </xdr:from>
        <xdr:to>
          <xdr:col>4</xdr:col>
          <xdr:colOff>63499</xdr:colOff>
          <xdr:row>7</xdr:row>
          <xdr:rowOff>10160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Employees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588432</xdr:colOff>
          <xdr:row>5</xdr:row>
          <xdr:rowOff>0</xdr:rowOff>
        </xdr:from>
        <xdr:to>
          <xdr:col>8</xdr:col>
          <xdr:colOff>29632</xdr:colOff>
          <xdr:row>7</xdr:row>
          <xdr:rowOff>1693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Customers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588432</xdr:colOff>
          <xdr:row>8</xdr:row>
          <xdr:rowOff>84667</xdr:rowOff>
        </xdr:from>
        <xdr:to>
          <xdr:col>8</xdr:col>
          <xdr:colOff>29632</xdr:colOff>
          <xdr:row>10</xdr:row>
          <xdr:rowOff>86360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Customer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457201</xdr:colOff>
          <xdr:row>5</xdr:row>
          <xdr:rowOff>0</xdr:rowOff>
        </xdr:from>
        <xdr:to>
          <xdr:col>11</xdr:col>
          <xdr:colOff>541868</xdr:colOff>
          <xdr:row>7</xdr:row>
          <xdr:rowOff>1693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Vendors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457201</xdr:colOff>
          <xdr:row>8</xdr:row>
          <xdr:rowOff>84667</xdr:rowOff>
        </xdr:from>
        <xdr:to>
          <xdr:col>11</xdr:col>
          <xdr:colOff>541868</xdr:colOff>
          <xdr:row>10</xdr:row>
          <xdr:rowOff>86360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Vendor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622299</xdr:colOff>
          <xdr:row>12</xdr:row>
          <xdr:rowOff>0</xdr:rowOff>
        </xdr:from>
        <xdr:to>
          <xdr:col>4</xdr:col>
          <xdr:colOff>63499</xdr:colOff>
          <xdr:row>14</xdr:row>
          <xdr:rowOff>1693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Pay Employees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588432</xdr:colOff>
          <xdr:row>12</xdr:row>
          <xdr:rowOff>0</xdr:rowOff>
        </xdr:from>
        <xdr:to>
          <xdr:col>8</xdr:col>
          <xdr:colOff>29632</xdr:colOff>
          <xdr:row>14</xdr:row>
          <xdr:rowOff>1693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457201</xdr:colOff>
          <xdr:row>12</xdr:row>
          <xdr:rowOff>0</xdr:rowOff>
        </xdr:from>
        <xdr:to>
          <xdr:col>11</xdr:col>
          <xdr:colOff>541868</xdr:colOff>
          <xdr:row>14</xdr:row>
          <xdr:rowOff>1693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Purchase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622299</xdr:colOff>
          <xdr:row>20</xdr:row>
          <xdr:rowOff>0</xdr:rowOff>
        </xdr:from>
        <xdr:to>
          <xdr:col>4</xdr:col>
          <xdr:colOff>63499</xdr:colOff>
          <xdr:row>22</xdr:row>
          <xdr:rowOff>1693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588432</xdr:colOff>
          <xdr:row>20</xdr:row>
          <xdr:rowOff>21166</xdr:rowOff>
        </xdr:from>
        <xdr:to>
          <xdr:col>8</xdr:col>
          <xdr:colOff>29632</xdr:colOff>
          <xdr:row>22</xdr:row>
          <xdr:rowOff>22859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the P&amp;L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457201</xdr:colOff>
          <xdr:row>20</xdr:row>
          <xdr:rowOff>16932</xdr:rowOff>
        </xdr:from>
        <xdr:to>
          <xdr:col>11</xdr:col>
          <xdr:colOff>541868</xdr:colOff>
          <xdr:row>22</xdr:row>
          <xdr:rowOff>18625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Income Statement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588432</xdr:colOff>
          <xdr:row>15</xdr:row>
          <xdr:rowOff>180340</xdr:rowOff>
        </xdr:from>
        <xdr:to>
          <xdr:col>8</xdr:col>
          <xdr:colOff>29632</xdr:colOff>
          <xdr:row>18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1BED4DEA-630F-44AF-AC9C-165CCC87BB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Invoices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457201</xdr:colOff>
          <xdr:row>15</xdr:row>
          <xdr:rowOff>180340</xdr:rowOff>
        </xdr:from>
        <xdr:to>
          <xdr:col>11</xdr:col>
          <xdr:colOff>541868</xdr:colOff>
          <xdr:row>18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1C3E4A6F-395D-4972-ABD4-9B77856949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Purchase Orders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110067</xdr:colOff>
      <xdr:row>1</xdr:row>
      <xdr:rowOff>1</xdr:rowOff>
    </xdr:from>
    <xdr:to>
      <xdr:col>12</xdr:col>
      <xdr:colOff>613834</xdr:colOff>
      <xdr:row>4</xdr:row>
      <xdr:rowOff>98186</xdr:rowOff>
    </xdr:to>
    <xdr:pic>
      <xdr:nvPicPr>
        <xdr:cNvPr id="18" name="Picture 17" descr="Image result for truck">
          <a:extLst>
            <a:ext uri="{FF2B5EF4-FFF2-40B4-BE49-F238E27FC236}">
              <a16:creationId xmlns:a16="http://schemas.microsoft.com/office/drawing/2014/main" id="{272DD985-E697-4E1F-8420-161B3DD56D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6544734" y="186268"/>
          <a:ext cx="1790700" cy="12411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33866</xdr:colOff>
      <xdr:row>0</xdr:row>
      <xdr:rowOff>182033</xdr:rowOff>
    </xdr:from>
    <xdr:to>
      <xdr:col>3</xdr:col>
      <xdr:colOff>537633</xdr:colOff>
      <xdr:row>4</xdr:row>
      <xdr:rowOff>93951</xdr:rowOff>
    </xdr:to>
    <xdr:pic>
      <xdr:nvPicPr>
        <xdr:cNvPr id="19" name="Picture 18" descr="Image result for truck">
          <a:extLst>
            <a:ext uri="{FF2B5EF4-FFF2-40B4-BE49-F238E27FC236}">
              <a16:creationId xmlns:a16="http://schemas.microsoft.com/office/drawing/2014/main" id="{A49DECDC-002C-44FA-8A79-C06EE8F8D3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7333" y="182033"/>
          <a:ext cx="1790700" cy="12411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16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C87735D4-04F2-41FB-8446-A9E941A9AF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Payroll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127000</xdr:colOff>
          <xdr:row>0</xdr:row>
          <xdr:rowOff>148167</xdr:rowOff>
        </xdr:from>
        <xdr:to>
          <xdr:col>5</xdr:col>
          <xdr:colOff>512234</xdr:colOff>
          <xdr:row>2</xdr:row>
          <xdr:rowOff>33867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127000</xdr:colOff>
          <xdr:row>0</xdr:row>
          <xdr:rowOff>262467</xdr:rowOff>
        </xdr:from>
        <xdr:to>
          <xdr:col>5</xdr:col>
          <xdr:colOff>283634</xdr:colOff>
          <xdr:row>2</xdr:row>
          <xdr:rowOff>63500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423334</xdr:colOff>
          <xdr:row>0</xdr:row>
          <xdr:rowOff>173567</xdr:rowOff>
        </xdr:from>
        <xdr:to>
          <xdr:col>5</xdr:col>
          <xdr:colOff>635000</xdr:colOff>
          <xdr:row>2</xdr:row>
          <xdr:rowOff>29634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702734</xdr:colOff>
          <xdr:row>1</xdr:row>
          <xdr:rowOff>0</xdr:rowOff>
        </xdr:from>
        <xdr:to>
          <xdr:col>6</xdr:col>
          <xdr:colOff>50800</xdr:colOff>
          <xdr:row>2</xdr:row>
          <xdr:rowOff>131233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97367</xdr:colOff>
          <xdr:row>0</xdr:row>
          <xdr:rowOff>169333</xdr:rowOff>
        </xdr:from>
        <xdr:to>
          <xdr:col>4</xdr:col>
          <xdr:colOff>300566</xdr:colOff>
          <xdr:row>2</xdr:row>
          <xdr:rowOff>131233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1185333</xdr:colOff>
          <xdr:row>0</xdr:row>
          <xdr:rowOff>88899</xdr:rowOff>
        </xdr:from>
        <xdr:to>
          <xdr:col>5</xdr:col>
          <xdr:colOff>918633</xdr:colOff>
          <xdr:row>2</xdr:row>
          <xdr:rowOff>63499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177800</xdr:rowOff>
        </xdr:from>
        <xdr:to>
          <xdr:col>10</xdr:col>
          <xdr:colOff>330200</xdr:colOff>
          <xdr:row>7</xdr:row>
          <xdr:rowOff>88900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58A78B80-5C70-4C0A-ABEB-591892C307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Accounts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402166</xdr:colOff>
          <xdr:row>2</xdr:row>
          <xdr:rowOff>8467</xdr:rowOff>
        </xdr:from>
        <xdr:to>
          <xdr:col>4</xdr:col>
          <xdr:colOff>732367</xdr:colOff>
          <xdr:row>3</xdr:row>
          <xdr:rowOff>131233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393700</xdr:colOff>
          <xdr:row>2</xdr:row>
          <xdr:rowOff>4233</xdr:rowOff>
        </xdr:from>
        <xdr:to>
          <xdr:col>4</xdr:col>
          <xdr:colOff>385233</xdr:colOff>
          <xdr:row>3</xdr:row>
          <xdr:rowOff>93133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905933</xdr:colOff>
          <xdr:row>0</xdr:row>
          <xdr:rowOff>131234</xdr:rowOff>
        </xdr:from>
        <xdr:to>
          <xdr:col>5</xdr:col>
          <xdr:colOff>385234</xdr:colOff>
          <xdr:row>2</xdr:row>
          <xdr:rowOff>59267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618067</xdr:colOff>
          <xdr:row>2</xdr:row>
          <xdr:rowOff>152401</xdr:rowOff>
        </xdr:from>
        <xdr:to>
          <xdr:col>3</xdr:col>
          <xdr:colOff>706967</xdr:colOff>
          <xdr:row>4</xdr:row>
          <xdr:rowOff>50801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CBB8C-E013-40B5-A9C6-E33AD09CE4BB}">
  <sheetPr codeName="Sheet1"/>
  <dimension ref="B1:M26"/>
  <sheetViews>
    <sheetView showGridLines="0" workbookViewId="0">
      <selection activeCell="O11" sqref="O11"/>
    </sheetView>
  </sheetViews>
  <sheetFormatPr defaultRowHeight="14.35" x14ac:dyDescent="0.5"/>
  <sheetData>
    <row r="1" spans="2:13" ht="14.7" thickBot="1" x14ac:dyDescent="0.55000000000000004"/>
    <row r="2" spans="2:13" x14ac:dyDescent="0.5"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M2" s="3"/>
    </row>
    <row r="3" spans="2:13" ht="61.35" x14ac:dyDescent="2">
      <c r="B3" s="6"/>
      <c r="C3" s="1"/>
      <c r="D3" s="1"/>
      <c r="E3" s="17" t="s">
        <v>93</v>
      </c>
      <c r="F3" s="1"/>
      <c r="G3" s="18"/>
      <c r="H3" s="18"/>
      <c r="I3" s="18"/>
      <c r="J3" s="18"/>
      <c r="K3" s="18"/>
      <c r="L3" s="1"/>
      <c r="M3" s="7"/>
    </row>
    <row r="4" spans="2:13" x14ac:dyDescent="0.5">
      <c r="B4" s="6"/>
      <c r="C4" s="1"/>
      <c r="D4" s="1"/>
      <c r="E4" s="1"/>
      <c r="F4" s="1"/>
      <c r="G4" s="1"/>
      <c r="H4" s="1"/>
      <c r="I4" s="1"/>
      <c r="J4" s="1"/>
      <c r="K4" s="1"/>
      <c r="L4" s="1"/>
      <c r="M4" s="7"/>
    </row>
    <row r="5" spans="2:13" x14ac:dyDescent="0.5">
      <c r="B5" s="6"/>
      <c r="C5" s="1"/>
      <c r="D5" s="1"/>
      <c r="E5" s="1"/>
      <c r="F5" s="1"/>
      <c r="G5" s="1"/>
      <c r="H5" s="1"/>
      <c r="I5" s="1"/>
      <c r="J5" s="1"/>
      <c r="K5" s="1"/>
      <c r="L5" s="1"/>
      <c r="M5" s="7"/>
    </row>
    <row r="6" spans="2:13" x14ac:dyDescent="0.5">
      <c r="B6" s="6"/>
      <c r="C6" s="1"/>
      <c r="D6" s="1"/>
      <c r="E6" s="1"/>
      <c r="F6" s="1"/>
      <c r="G6" s="1"/>
      <c r="H6" s="1"/>
      <c r="I6" s="1"/>
      <c r="J6" s="1"/>
      <c r="K6" s="1"/>
      <c r="L6" s="1"/>
      <c r="M6" s="7"/>
    </row>
    <row r="7" spans="2:13" x14ac:dyDescent="0.5">
      <c r="B7" s="6"/>
      <c r="C7" s="1"/>
      <c r="D7" s="1"/>
      <c r="E7" s="1"/>
      <c r="F7" s="1"/>
      <c r="G7" s="1"/>
      <c r="H7" s="1"/>
      <c r="I7" s="1"/>
      <c r="J7" s="1"/>
      <c r="K7" s="1"/>
      <c r="L7" s="1"/>
      <c r="M7" s="7"/>
    </row>
    <row r="8" spans="2:13" x14ac:dyDescent="0.5">
      <c r="B8" s="6"/>
      <c r="C8" s="1"/>
      <c r="D8" s="1"/>
      <c r="E8" s="1"/>
      <c r="F8" s="1"/>
      <c r="G8" s="1"/>
      <c r="H8" s="1"/>
      <c r="I8" s="1"/>
      <c r="J8" s="1"/>
      <c r="K8" s="1"/>
      <c r="L8" s="1"/>
      <c r="M8" s="7"/>
    </row>
    <row r="9" spans="2:13" x14ac:dyDescent="0.5">
      <c r="B9" s="6"/>
      <c r="C9" s="1"/>
      <c r="D9" s="1"/>
      <c r="E9" s="1"/>
      <c r="F9" s="1"/>
      <c r="G9" s="1"/>
      <c r="H9" s="1"/>
      <c r="I9" s="1"/>
      <c r="J9" s="1"/>
      <c r="K9" s="1"/>
      <c r="L9" s="1"/>
      <c r="M9" s="7"/>
    </row>
    <row r="10" spans="2:13" x14ac:dyDescent="0.5">
      <c r="B10" s="6"/>
      <c r="C10" s="1"/>
      <c r="D10" s="1"/>
      <c r="E10" s="1"/>
      <c r="F10" s="1"/>
      <c r="G10" s="1"/>
      <c r="H10" s="1"/>
      <c r="I10" s="1"/>
      <c r="J10" s="1"/>
      <c r="K10" s="1"/>
      <c r="L10" s="1"/>
      <c r="M10" s="7"/>
    </row>
    <row r="11" spans="2:13" x14ac:dyDescent="0.5">
      <c r="B11" s="6"/>
      <c r="C11" s="1"/>
      <c r="D11" s="1"/>
      <c r="E11" s="1"/>
      <c r="F11" s="1"/>
      <c r="G11" s="1"/>
      <c r="H11" s="1"/>
      <c r="I11" s="1"/>
      <c r="J11" s="1"/>
      <c r="K11" s="1"/>
      <c r="L11" s="1"/>
      <c r="M11" s="7"/>
    </row>
    <row r="12" spans="2:13" x14ac:dyDescent="0.5">
      <c r="B12" s="6"/>
      <c r="C12" s="1"/>
      <c r="D12" s="1"/>
      <c r="E12" s="1"/>
      <c r="F12" s="1"/>
      <c r="G12" s="1"/>
      <c r="H12" s="1"/>
      <c r="I12" s="1"/>
      <c r="J12" s="1"/>
      <c r="K12" s="1"/>
      <c r="L12" s="1"/>
      <c r="M12" s="7"/>
    </row>
    <row r="13" spans="2:13" x14ac:dyDescent="0.5">
      <c r="B13" s="6"/>
      <c r="C13" s="1"/>
      <c r="D13" s="1"/>
      <c r="E13" s="1"/>
      <c r="F13" s="1"/>
      <c r="G13" s="1"/>
      <c r="H13" s="1"/>
      <c r="I13" s="1"/>
      <c r="J13" s="1"/>
      <c r="K13" s="1"/>
      <c r="L13" s="1"/>
      <c r="M13" s="7"/>
    </row>
    <row r="14" spans="2:13" x14ac:dyDescent="0.5">
      <c r="B14" s="6"/>
      <c r="C14" s="1"/>
      <c r="D14" s="1"/>
      <c r="E14" s="1"/>
      <c r="F14" s="1"/>
      <c r="G14" s="1"/>
      <c r="H14" s="1"/>
      <c r="I14" s="1"/>
      <c r="J14" s="1"/>
      <c r="K14" s="1"/>
      <c r="L14" s="1"/>
      <c r="M14" s="7"/>
    </row>
    <row r="15" spans="2:13" x14ac:dyDescent="0.5">
      <c r="B15" s="6"/>
      <c r="C15" s="1"/>
      <c r="D15" s="1"/>
      <c r="E15" s="1"/>
      <c r="F15" s="1"/>
      <c r="G15" s="1"/>
      <c r="H15" s="1"/>
      <c r="I15" s="1"/>
      <c r="J15" s="1"/>
      <c r="K15" s="1"/>
      <c r="L15" s="1"/>
      <c r="M15" s="7"/>
    </row>
    <row r="16" spans="2:13" x14ac:dyDescent="0.5">
      <c r="B16" s="6"/>
      <c r="C16" s="1"/>
      <c r="D16" s="1"/>
      <c r="E16" s="1"/>
      <c r="F16" s="1"/>
      <c r="G16" s="1"/>
      <c r="H16" s="1"/>
      <c r="I16" s="1"/>
      <c r="J16" s="1"/>
      <c r="K16" s="1"/>
      <c r="L16" s="1"/>
      <c r="M16" s="7"/>
    </row>
    <row r="17" spans="2:13" x14ac:dyDescent="0.5">
      <c r="B17" s="6"/>
      <c r="C17" s="1"/>
      <c r="D17" s="1"/>
      <c r="E17" s="1"/>
      <c r="F17" s="1"/>
      <c r="G17" s="1"/>
      <c r="H17" s="1"/>
      <c r="I17" s="1"/>
      <c r="J17" s="1"/>
      <c r="K17" s="1"/>
      <c r="L17" s="1"/>
      <c r="M17" s="7"/>
    </row>
    <row r="18" spans="2:13" x14ac:dyDescent="0.5">
      <c r="B18" s="6"/>
      <c r="C18" s="1"/>
      <c r="D18" s="1"/>
      <c r="E18" s="1"/>
      <c r="F18" s="1"/>
      <c r="G18" s="1"/>
      <c r="H18" s="1"/>
      <c r="I18" s="1"/>
      <c r="J18" s="1"/>
      <c r="K18" s="1"/>
      <c r="L18" s="1"/>
      <c r="M18" s="7"/>
    </row>
    <row r="19" spans="2:13" x14ac:dyDescent="0.5">
      <c r="B19" s="6"/>
      <c r="C19" s="1"/>
      <c r="E19" s="1"/>
      <c r="F19" s="1"/>
      <c r="G19" s="1"/>
      <c r="H19" s="1"/>
      <c r="I19" s="1"/>
      <c r="J19" s="1"/>
      <c r="K19" s="1"/>
      <c r="L19" s="1"/>
      <c r="M19" s="7"/>
    </row>
    <row r="20" spans="2:13" x14ac:dyDescent="0.5">
      <c r="B20" s="6"/>
      <c r="C20" s="1"/>
      <c r="D20" s="1"/>
      <c r="E20" s="1"/>
      <c r="F20" s="1"/>
      <c r="G20" s="1"/>
      <c r="H20" s="1"/>
      <c r="I20" s="1"/>
      <c r="J20" s="1"/>
      <c r="K20" s="1"/>
      <c r="L20" s="1"/>
      <c r="M20" s="7"/>
    </row>
    <row r="21" spans="2:13" x14ac:dyDescent="0.5">
      <c r="B21" s="6"/>
      <c r="C21" s="1"/>
      <c r="D21" s="1"/>
      <c r="E21" s="1"/>
      <c r="F21" s="1"/>
      <c r="G21" s="1"/>
      <c r="H21" s="1"/>
      <c r="I21" s="1"/>
      <c r="J21" s="1"/>
      <c r="K21" s="1"/>
      <c r="L21" s="1"/>
      <c r="M21" s="7"/>
    </row>
    <row r="22" spans="2:13" x14ac:dyDescent="0.5">
      <c r="B22" s="6"/>
      <c r="C22" s="1"/>
      <c r="D22" s="1"/>
      <c r="E22" s="1"/>
      <c r="F22" s="1"/>
      <c r="G22" s="1"/>
      <c r="H22" s="1"/>
      <c r="I22" s="1"/>
      <c r="J22" s="1"/>
      <c r="K22" s="1"/>
      <c r="L22" s="1"/>
      <c r="M22" s="7"/>
    </row>
    <row r="23" spans="2:13" x14ac:dyDescent="0.5">
      <c r="B23" s="6"/>
      <c r="C23" s="1"/>
      <c r="D23" s="1"/>
      <c r="E23" s="1"/>
      <c r="F23" s="1"/>
      <c r="G23" s="1"/>
      <c r="H23" s="1"/>
      <c r="I23" s="1"/>
      <c r="J23" s="1"/>
      <c r="K23" s="1"/>
      <c r="L23" s="1"/>
      <c r="M23" s="7"/>
    </row>
    <row r="24" spans="2:13" x14ac:dyDescent="0.5">
      <c r="B24" s="6"/>
      <c r="C24" s="1"/>
      <c r="D24" s="1"/>
      <c r="E24" s="1"/>
      <c r="F24" s="1"/>
      <c r="G24" s="1"/>
      <c r="H24" s="1"/>
      <c r="I24" s="1"/>
      <c r="J24" s="1"/>
      <c r="K24" s="1"/>
      <c r="L24" s="1"/>
      <c r="M24" s="7"/>
    </row>
    <row r="25" spans="2:13" x14ac:dyDescent="0.5">
      <c r="B25" s="6"/>
      <c r="C25" s="1"/>
      <c r="D25" s="1"/>
      <c r="E25" s="1"/>
      <c r="F25" s="1"/>
      <c r="G25" s="1"/>
      <c r="H25" s="1"/>
      <c r="I25" s="1"/>
      <c r="J25" s="1"/>
      <c r="K25" s="1"/>
      <c r="L25" s="1"/>
      <c r="M25" s="7"/>
    </row>
    <row r="26" spans="2:13" ht="14.7" thickBot="1" x14ac:dyDescent="0.55000000000000004">
      <c r="B26" s="8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5"/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Employees_Click">
                <anchor moveWithCells="1" sizeWithCells="1">
                  <from>
                    <xdr:col>1</xdr:col>
                    <xdr:colOff>622300</xdr:colOff>
                    <xdr:row>8</xdr:row>
                    <xdr:rowOff>84667</xdr:rowOff>
                  </from>
                  <to>
                    <xdr:col>4</xdr:col>
                    <xdr:colOff>63500</xdr:colOff>
                    <xdr:row>10</xdr:row>
                    <xdr:rowOff>84667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owEmployees_Click">
                <anchor moveWithCells="1" sizeWithCells="1">
                  <from>
                    <xdr:col>1</xdr:col>
                    <xdr:colOff>622300</xdr:colOff>
                    <xdr:row>5</xdr:row>
                    <xdr:rowOff>8467</xdr:rowOff>
                  </from>
                  <to>
                    <xdr:col>4</xdr:col>
                    <xdr:colOff>63500</xdr:colOff>
                    <xdr:row>7</xdr:row>
                    <xdr:rowOff>8467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owCustomers_Click">
                <anchor moveWithCells="1" sizeWithCells="1">
                  <from>
                    <xdr:col>5</xdr:col>
                    <xdr:colOff>588433</xdr:colOff>
                    <xdr:row>5</xdr:row>
                    <xdr:rowOff>0</xdr:rowOff>
                  </from>
                  <to>
                    <xdr:col>8</xdr:col>
                    <xdr:colOff>29633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ddCustomer_Click">
                <anchor moveWithCells="1" sizeWithCells="1">
                  <from>
                    <xdr:col>5</xdr:col>
                    <xdr:colOff>588433</xdr:colOff>
                    <xdr:row>8</xdr:row>
                    <xdr:rowOff>84667</xdr:rowOff>
                  </from>
                  <to>
                    <xdr:col>8</xdr:col>
                    <xdr:colOff>29633</xdr:colOff>
                    <xdr:row>10</xdr:row>
                    <xdr:rowOff>84667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owVendors_Click">
                <anchor moveWithCells="1" sizeWithCells="1">
                  <from>
                    <xdr:col>9</xdr:col>
                    <xdr:colOff>457200</xdr:colOff>
                    <xdr:row>5</xdr:row>
                    <xdr:rowOff>0</xdr:rowOff>
                  </from>
                  <to>
                    <xdr:col>11</xdr:col>
                    <xdr:colOff>541867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AddVendor_Click">
                <anchor moveWithCells="1" sizeWithCells="1">
                  <from>
                    <xdr:col>9</xdr:col>
                    <xdr:colOff>457200</xdr:colOff>
                    <xdr:row>8</xdr:row>
                    <xdr:rowOff>84667</xdr:rowOff>
                  </from>
                  <to>
                    <xdr:col>11</xdr:col>
                    <xdr:colOff>541867</xdr:colOff>
                    <xdr:row>10</xdr:row>
                    <xdr:rowOff>84667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PayEmployees_Click">
                <anchor moveWithCells="1" sizeWithCells="1">
                  <from>
                    <xdr:col>1</xdr:col>
                    <xdr:colOff>622300</xdr:colOff>
                    <xdr:row>12</xdr:row>
                    <xdr:rowOff>0</xdr:rowOff>
                  </from>
                  <to>
                    <xdr:col>4</xdr:col>
                    <xdr:colOff>63500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AddInvoice_Click">
                <anchor moveWithCells="1" sizeWithCells="1">
                  <from>
                    <xdr:col>5</xdr:col>
                    <xdr:colOff>588433</xdr:colOff>
                    <xdr:row>12</xdr:row>
                    <xdr:rowOff>0</xdr:rowOff>
                  </from>
                  <to>
                    <xdr:col>8</xdr:col>
                    <xdr:colOff>29633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 macro="[0]!AddPO_Click">
                <anchor moveWithCells="1" sizeWithCells="1">
                  <from>
                    <xdr:col>9</xdr:col>
                    <xdr:colOff>457200</xdr:colOff>
                    <xdr:row>12</xdr:row>
                    <xdr:rowOff>0</xdr:rowOff>
                  </from>
                  <to>
                    <xdr:col>11</xdr:col>
                    <xdr:colOff>541867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 macro="[0]!ShowInventory_Click">
                <anchor moveWithCells="1" sizeWithCells="1">
                  <from>
                    <xdr:col>1</xdr:col>
                    <xdr:colOff>622300</xdr:colOff>
                    <xdr:row>20</xdr:row>
                    <xdr:rowOff>0</xdr:rowOff>
                  </from>
                  <to>
                    <xdr:col>4</xdr:col>
                    <xdr:colOff>63500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 macro="[0]!ShowBalanceSheet_Click">
                <anchor moveWithCells="1" sizeWithCells="1">
                  <from>
                    <xdr:col>5</xdr:col>
                    <xdr:colOff>588433</xdr:colOff>
                    <xdr:row>20</xdr:row>
                    <xdr:rowOff>21167</xdr:rowOff>
                  </from>
                  <to>
                    <xdr:col>8</xdr:col>
                    <xdr:colOff>29633</xdr:colOff>
                    <xdr:row>22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 macro="[0]!ShowIncomeStatement_Click">
                <anchor moveWithCells="1" sizeWithCells="1">
                  <from>
                    <xdr:col>9</xdr:col>
                    <xdr:colOff>457200</xdr:colOff>
                    <xdr:row>20</xdr:row>
                    <xdr:rowOff>16933</xdr:rowOff>
                  </from>
                  <to>
                    <xdr:col>11</xdr:col>
                    <xdr:colOff>541867</xdr:colOff>
                    <xdr:row>22</xdr:row>
                    <xdr:rowOff>16933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6" name="Button 17">
              <controlPr defaultSize="0" print="0" autoFill="0" autoPict="0" macro="[0]!ShowInvoice_Click">
                <anchor moveWithCells="1" sizeWithCells="1">
                  <from>
                    <xdr:col>5</xdr:col>
                    <xdr:colOff>588433</xdr:colOff>
                    <xdr:row>15</xdr:row>
                    <xdr:rowOff>182033</xdr:rowOff>
                  </from>
                  <to>
                    <xdr:col>8</xdr:col>
                    <xdr:colOff>29633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7" name="Button 18">
              <controlPr defaultSize="0" print="0" autoFill="0" autoPict="0" macro="[0]!ShowPurchaseOrder_Click">
                <anchor moveWithCells="1" sizeWithCells="1">
                  <from>
                    <xdr:col>9</xdr:col>
                    <xdr:colOff>457200</xdr:colOff>
                    <xdr:row>15</xdr:row>
                    <xdr:rowOff>182033</xdr:rowOff>
                  </from>
                  <to>
                    <xdr:col>11</xdr:col>
                    <xdr:colOff>541867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8" name="Button 20">
              <controlPr defaultSize="0" print="0" autoFill="0" autoPict="0" macro="[0]!ShowPayroll_Click">
                <anchor moveWithCells="1" siz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632A8-EFC7-45C1-8F52-953DF19B8486}">
  <sheetPr codeName="Sheet3"/>
  <dimension ref="A1:P35"/>
  <sheetViews>
    <sheetView showGridLines="0" workbookViewId="0">
      <selection activeCell="B5" sqref="B5"/>
    </sheetView>
  </sheetViews>
  <sheetFormatPr defaultColWidth="11.87890625" defaultRowHeight="14.35" x14ac:dyDescent="0.5"/>
  <cols>
    <col min="2" max="2" width="15.1171875" style="20" bestFit="1" customWidth="1"/>
    <col min="3" max="4" width="11.87890625" style="20"/>
    <col min="5" max="6" width="13.87890625" style="20" bestFit="1" customWidth="1"/>
    <col min="7" max="7" width="10.29296875" style="20" customWidth="1"/>
    <col min="8" max="8" width="14.29296875" style="20" customWidth="1"/>
    <col min="9" max="9" width="11.87890625" style="20"/>
  </cols>
  <sheetData>
    <row r="1" spans="1:13" x14ac:dyDescent="0.5">
      <c r="C1" s="31"/>
      <c r="D1" s="31"/>
      <c r="E1" s="31"/>
      <c r="F1" s="31"/>
      <c r="G1" s="31"/>
      <c r="H1" s="31"/>
      <c r="I1" s="31"/>
      <c r="J1" s="1"/>
      <c r="K1" s="1"/>
      <c r="L1" s="1"/>
      <c r="M1" s="1"/>
    </row>
    <row r="2" spans="1:13" ht="23.35" x14ac:dyDescent="0.8">
      <c r="A2" s="1"/>
      <c r="B2" s="34" t="s">
        <v>81</v>
      </c>
      <c r="C2" s="31"/>
      <c r="D2" s="31"/>
      <c r="E2" s="31"/>
      <c r="F2" s="31"/>
      <c r="G2" s="31"/>
      <c r="H2" s="31"/>
      <c r="I2" s="31"/>
      <c r="J2" s="1"/>
      <c r="K2" s="1"/>
      <c r="L2" s="1"/>
      <c r="M2" s="1"/>
    </row>
    <row r="3" spans="1:13" x14ac:dyDescent="0.5">
      <c r="A3" s="1"/>
      <c r="B3" s="31"/>
      <c r="C3" s="31"/>
      <c r="D3" s="31"/>
      <c r="E3" s="31"/>
      <c r="F3" s="31"/>
      <c r="G3" s="31"/>
      <c r="H3" s="31"/>
      <c r="I3" s="31"/>
      <c r="J3" s="1"/>
      <c r="K3" s="1"/>
      <c r="L3" s="1"/>
      <c r="M3" s="1"/>
    </row>
    <row r="4" spans="1:13" x14ac:dyDescent="0.5">
      <c r="A4" s="1"/>
      <c r="B4" s="49" t="s">
        <v>9</v>
      </c>
      <c r="C4" s="49" t="s">
        <v>0</v>
      </c>
      <c r="D4" s="49" t="s">
        <v>1</v>
      </c>
      <c r="E4" s="49" t="s">
        <v>2</v>
      </c>
      <c r="F4" s="49" t="s">
        <v>3</v>
      </c>
      <c r="G4" s="49" t="s">
        <v>4</v>
      </c>
      <c r="H4" s="49" t="s">
        <v>5</v>
      </c>
      <c r="I4" s="49" t="s">
        <v>6</v>
      </c>
      <c r="J4" s="1"/>
      <c r="K4" s="1"/>
      <c r="L4" s="1"/>
      <c r="M4" s="1"/>
    </row>
    <row r="5" spans="1:13" x14ac:dyDescent="0.5">
      <c r="A5" s="1"/>
      <c r="B5" s="20" t="s">
        <v>86</v>
      </c>
      <c r="C5" s="20" t="s">
        <v>96</v>
      </c>
      <c r="D5" s="20" t="s">
        <v>97</v>
      </c>
      <c r="E5" s="31"/>
      <c r="F5" s="31"/>
      <c r="G5" s="31"/>
      <c r="H5" s="31"/>
      <c r="I5" s="31">
        <v>61820</v>
      </c>
      <c r="J5" s="1"/>
      <c r="K5" s="1"/>
      <c r="L5" s="1"/>
      <c r="M5" s="1"/>
    </row>
    <row r="6" spans="1:13" x14ac:dyDescent="0.5">
      <c r="B6" s="20" t="s">
        <v>87</v>
      </c>
      <c r="C6" s="20" t="s">
        <v>98</v>
      </c>
      <c r="D6" s="20" t="s">
        <v>99</v>
      </c>
      <c r="I6" s="20">
        <v>342141</v>
      </c>
    </row>
    <row r="35" spans="14:16" x14ac:dyDescent="0.5">
      <c r="N35" s="1"/>
      <c r="O35" s="1"/>
      <c r="P35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owMainMenu_Click">
                <anchor moveWithCells="1" sizeWithCells="1">
                  <from>
                    <xdr:col>4</xdr:col>
                    <xdr:colOff>127000</xdr:colOff>
                    <xdr:row>0</xdr:row>
                    <xdr:rowOff>148167</xdr:rowOff>
                  </from>
                  <to>
                    <xdr:col>5</xdr:col>
                    <xdr:colOff>512233</xdr:colOff>
                    <xdr:row>2</xdr:row>
                    <xdr:rowOff>33867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A0A4A-8F93-4661-895D-31BF6AFB48EB}">
  <sheetPr codeName="Sheet4"/>
  <dimension ref="A1:M29"/>
  <sheetViews>
    <sheetView showGridLines="0" workbookViewId="0">
      <selection activeCell="F12" sqref="F12"/>
    </sheetView>
  </sheetViews>
  <sheetFormatPr defaultRowHeight="14.35" x14ac:dyDescent="0.5"/>
  <cols>
    <col min="2" max="2" width="15.1171875" bestFit="1" customWidth="1"/>
    <col min="3" max="3" width="15.46875" customWidth="1"/>
    <col min="4" max="4" width="10.5859375" style="22" bestFit="1" customWidth="1"/>
    <col min="5" max="6" width="13.87890625" bestFit="1" customWidth="1"/>
  </cols>
  <sheetData>
    <row r="1" spans="1:13" x14ac:dyDescent="0.5">
      <c r="B1" s="1"/>
      <c r="C1" s="1"/>
      <c r="D1" s="23"/>
      <c r="E1" s="1"/>
      <c r="F1" s="1"/>
      <c r="G1" s="1"/>
      <c r="H1" s="1"/>
      <c r="I1" s="1"/>
      <c r="J1" s="1"/>
      <c r="K1" s="1"/>
      <c r="L1" s="1"/>
      <c r="M1" s="1"/>
    </row>
    <row r="2" spans="1:13" ht="23.35" x14ac:dyDescent="0.8">
      <c r="A2" s="34"/>
      <c r="B2" s="34" t="s">
        <v>80</v>
      </c>
      <c r="C2" s="1"/>
      <c r="D2" s="23"/>
      <c r="E2" s="1"/>
      <c r="F2" s="1"/>
      <c r="G2" s="1"/>
      <c r="H2" s="1"/>
      <c r="I2" s="1"/>
      <c r="J2" s="1"/>
      <c r="K2" s="1"/>
      <c r="L2" s="1"/>
      <c r="M2" s="1"/>
    </row>
    <row r="3" spans="1:13" ht="23.35" x14ac:dyDescent="0.8">
      <c r="A3" s="34"/>
      <c r="B3" s="1"/>
      <c r="C3" s="1"/>
      <c r="D3" s="23"/>
      <c r="E3" s="1"/>
      <c r="F3" s="1"/>
      <c r="G3" s="1"/>
      <c r="H3" s="1"/>
      <c r="I3" s="1"/>
      <c r="J3" s="1"/>
      <c r="K3" s="1"/>
      <c r="L3" s="1"/>
      <c r="M3" s="1"/>
    </row>
    <row r="4" spans="1:13" x14ac:dyDescent="0.5">
      <c r="A4" s="1"/>
      <c r="B4" s="49" t="s">
        <v>10</v>
      </c>
      <c r="C4" s="49" t="s">
        <v>11</v>
      </c>
      <c r="D4" s="52" t="s">
        <v>12</v>
      </c>
      <c r="E4" s="49" t="s">
        <v>2</v>
      </c>
      <c r="F4" s="49" t="s">
        <v>3</v>
      </c>
      <c r="G4" s="49" t="s">
        <v>4</v>
      </c>
      <c r="H4" s="49" t="s">
        <v>5</v>
      </c>
      <c r="I4" s="49" t="s">
        <v>6</v>
      </c>
      <c r="J4" s="1"/>
      <c r="K4" s="1"/>
      <c r="L4" s="1"/>
      <c r="M4" s="1"/>
    </row>
    <row r="5" spans="1:13" x14ac:dyDescent="0.5">
      <c r="A5" s="1"/>
      <c r="B5" s="20" t="s">
        <v>100</v>
      </c>
      <c r="C5" s="20" t="s">
        <v>57</v>
      </c>
      <c r="D5" s="24">
        <v>1</v>
      </c>
      <c r="E5" s="31"/>
      <c r="F5" s="31"/>
      <c r="G5" s="31" t="s">
        <v>101</v>
      </c>
      <c r="H5" s="31" t="s">
        <v>102</v>
      </c>
      <c r="I5" s="31">
        <v>2191823</v>
      </c>
      <c r="J5" s="1"/>
      <c r="K5" s="1"/>
      <c r="L5" s="1"/>
      <c r="M5" s="1"/>
    </row>
    <row r="6" spans="1:13" x14ac:dyDescent="0.5">
      <c r="B6" s="20"/>
      <c r="C6" s="20"/>
      <c r="D6" s="24"/>
      <c r="E6" s="20"/>
      <c r="F6" s="20"/>
      <c r="G6" s="20"/>
      <c r="H6" s="20"/>
      <c r="I6" s="20"/>
    </row>
    <row r="7" spans="1:13" x14ac:dyDescent="0.5">
      <c r="B7" s="20"/>
      <c r="C7" s="20"/>
      <c r="D7" s="24"/>
      <c r="E7" s="20"/>
      <c r="F7" s="20"/>
      <c r="G7" s="20"/>
      <c r="H7" s="20"/>
      <c r="I7" s="20"/>
    </row>
    <row r="8" spans="1:13" x14ac:dyDescent="0.5">
      <c r="B8" s="20"/>
      <c r="C8" s="20"/>
      <c r="D8" s="24"/>
      <c r="E8" s="20"/>
      <c r="F8" s="20"/>
      <c r="G8" s="20"/>
      <c r="H8" s="20"/>
      <c r="I8" s="20"/>
    </row>
    <row r="9" spans="1:13" x14ac:dyDescent="0.5">
      <c r="B9" s="20"/>
      <c r="C9" s="20"/>
      <c r="D9" s="24"/>
      <c r="E9" s="20"/>
      <c r="F9" s="20"/>
      <c r="G9" s="20"/>
      <c r="H9" s="20"/>
      <c r="I9" s="20"/>
    </row>
    <row r="10" spans="1:13" x14ac:dyDescent="0.5">
      <c r="B10" s="20"/>
      <c r="C10" s="20"/>
      <c r="D10" s="24"/>
      <c r="E10" s="20"/>
      <c r="F10" s="20"/>
      <c r="G10" s="20"/>
      <c r="H10" s="20"/>
      <c r="I10" s="20"/>
    </row>
    <row r="11" spans="1:13" x14ac:dyDescent="0.5">
      <c r="B11" s="20"/>
      <c r="C11" s="20"/>
      <c r="D11" s="24"/>
      <c r="E11" s="20"/>
      <c r="F11" s="20"/>
      <c r="G11" s="20"/>
      <c r="H11" s="20"/>
      <c r="I11" s="20"/>
    </row>
    <row r="12" spans="1:13" x14ac:dyDescent="0.5">
      <c r="B12" s="20"/>
      <c r="C12" s="20"/>
      <c r="D12" s="24"/>
      <c r="E12" s="20"/>
      <c r="F12" s="20"/>
      <c r="G12" s="20"/>
      <c r="H12" s="20"/>
      <c r="I12" s="20"/>
    </row>
    <row r="13" spans="1:13" x14ac:dyDescent="0.5">
      <c r="B13" s="20"/>
      <c r="C13" s="20"/>
      <c r="D13" s="24"/>
      <c r="E13" s="20"/>
      <c r="F13" s="20"/>
      <c r="G13" s="20"/>
      <c r="H13" s="20"/>
      <c r="I13" s="20"/>
    </row>
    <row r="14" spans="1:13" x14ac:dyDescent="0.5">
      <c r="B14" s="20"/>
      <c r="C14" s="20"/>
      <c r="D14" s="24"/>
      <c r="E14" s="20"/>
      <c r="F14" s="20"/>
      <c r="G14" s="20"/>
      <c r="H14" s="20"/>
      <c r="I14" s="20"/>
    </row>
    <row r="15" spans="1:13" x14ac:dyDescent="0.5">
      <c r="B15" s="20"/>
      <c r="C15" s="20"/>
      <c r="D15" s="24"/>
      <c r="E15" s="20"/>
      <c r="F15" s="20"/>
      <c r="G15" s="20"/>
      <c r="H15" s="20"/>
      <c r="I15" s="20"/>
    </row>
    <row r="16" spans="1:13" x14ac:dyDescent="0.5">
      <c r="B16" s="20"/>
      <c r="C16" s="20"/>
      <c r="D16" s="24"/>
      <c r="E16" s="20"/>
      <c r="F16" s="20"/>
      <c r="G16" s="20"/>
      <c r="H16" s="20"/>
      <c r="I16" s="20"/>
    </row>
    <row r="17" spans="2:9" x14ac:dyDescent="0.5">
      <c r="B17" s="20"/>
      <c r="C17" s="20"/>
      <c r="D17" s="24"/>
      <c r="E17" s="20"/>
      <c r="F17" s="20"/>
      <c r="G17" s="20"/>
      <c r="H17" s="20"/>
      <c r="I17" s="20"/>
    </row>
    <row r="18" spans="2:9" x14ac:dyDescent="0.5">
      <c r="B18" s="20"/>
      <c r="C18" s="20"/>
      <c r="D18" s="24"/>
      <c r="E18" s="20"/>
      <c r="F18" s="20"/>
      <c r="G18" s="20"/>
      <c r="H18" s="20"/>
      <c r="I18" s="20"/>
    </row>
    <row r="19" spans="2:9" x14ac:dyDescent="0.5">
      <c r="B19" s="20"/>
      <c r="C19" s="20"/>
      <c r="D19" s="24"/>
      <c r="E19" s="20"/>
      <c r="F19" s="20"/>
      <c r="G19" s="20"/>
      <c r="H19" s="20"/>
      <c r="I19" s="20"/>
    </row>
    <row r="20" spans="2:9" x14ac:dyDescent="0.5">
      <c r="B20" s="20"/>
      <c r="C20" s="20"/>
      <c r="D20" s="24"/>
      <c r="E20" s="20"/>
      <c r="F20" s="20"/>
      <c r="G20" s="20"/>
      <c r="H20" s="20"/>
      <c r="I20" s="20"/>
    </row>
    <row r="21" spans="2:9" x14ac:dyDescent="0.5">
      <c r="B21" s="20"/>
      <c r="C21" s="20"/>
      <c r="D21" s="24"/>
      <c r="E21" s="20"/>
      <c r="F21" s="20"/>
      <c r="G21" s="20"/>
      <c r="H21" s="20"/>
      <c r="I21" s="20"/>
    </row>
    <row r="22" spans="2:9" x14ac:dyDescent="0.5">
      <c r="B22" s="20"/>
      <c r="C22" s="20"/>
      <c r="D22" s="24"/>
      <c r="E22" s="20"/>
      <c r="F22" s="20"/>
      <c r="G22" s="20"/>
      <c r="H22" s="20"/>
      <c r="I22" s="20"/>
    </row>
    <row r="23" spans="2:9" x14ac:dyDescent="0.5">
      <c r="B23" s="20"/>
      <c r="C23" s="20"/>
      <c r="D23" s="24"/>
      <c r="E23" s="20"/>
      <c r="F23" s="20"/>
      <c r="G23" s="20"/>
      <c r="H23" s="20"/>
      <c r="I23" s="20"/>
    </row>
    <row r="24" spans="2:9" x14ac:dyDescent="0.5">
      <c r="B24" s="20"/>
      <c r="C24" s="20"/>
      <c r="D24" s="24"/>
      <c r="E24" s="20"/>
      <c r="F24" s="20"/>
      <c r="G24" s="20"/>
      <c r="H24" s="20"/>
      <c r="I24" s="20"/>
    </row>
    <row r="25" spans="2:9" x14ac:dyDescent="0.5">
      <c r="B25" s="20"/>
      <c r="C25" s="20"/>
      <c r="D25" s="24"/>
      <c r="E25" s="20"/>
      <c r="F25" s="20"/>
      <c r="G25" s="20"/>
      <c r="H25" s="20"/>
      <c r="I25" s="20"/>
    </row>
    <row r="26" spans="2:9" x14ac:dyDescent="0.5">
      <c r="B26" s="20"/>
      <c r="C26" s="20"/>
      <c r="D26" s="24"/>
      <c r="E26" s="20"/>
      <c r="F26" s="20"/>
      <c r="G26" s="20"/>
      <c r="H26" s="20"/>
      <c r="I26" s="20"/>
    </row>
    <row r="27" spans="2:9" x14ac:dyDescent="0.5">
      <c r="B27" s="20"/>
      <c r="C27" s="20"/>
      <c r="D27" s="24"/>
      <c r="E27" s="20"/>
      <c r="F27" s="20"/>
      <c r="G27" s="20"/>
      <c r="H27" s="20"/>
      <c r="I27" s="20"/>
    </row>
    <row r="28" spans="2:9" x14ac:dyDescent="0.5">
      <c r="B28" s="20"/>
      <c r="C28" s="20"/>
      <c r="D28" s="24"/>
      <c r="E28" s="20"/>
      <c r="F28" s="20"/>
      <c r="G28" s="20"/>
      <c r="H28" s="20"/>
      <c r="I28" s="20"/>
    </row>
    <row r="29" spans="2:9" x14ac:dyDescent="0.5">
      <c r="B29" s="20"/>
      <c r="C29" s="20"/>
      <c r="D29" s="24"/>
      <c r="E29" s="20"/>
      <c r="F29" s="20"/>
      <c r="G29" s="20"/>
      <c r="H29" s="20"/>
      <c r="I29" s="2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owMainMenu_Click">
                <anchor moveWithCells="1" sizeWithCells="1">
                  <from>
                    <xdr:col>4</xdr:col>
                    <xdr:colOff>127000</xdr:colOff>
                    <xdr:row>0</xdr:row>
                    <xdr:rowOff>262467</xdr:rowOff>
                  </from>
                  <to>
                    <xdr:col>5</xdr:col>
                    <xdr:colOff>283633</xdr:colOff>
                    <xdr:row>2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EE954-0A09-4622-AA38-5639E44A04C3}">
  <sheetPr codeName="Sheet2"/>
  <dimension ref="B2:L54"/>
  <sheetViews>
    <sheetView showGridLines="0" workbookViewId="0">
      <selection activeCell="K10" sqref="K10"/>
    </sheetView>
  </sheetViews>
  <sheetFormatPr defaultColWidth="9.1171875" defaultRowHeight="14.35" x14ac:dyDescent="0.5"/>
  <cols>
    <col min="1" max="1" width="9.1171875" style="1"/>
    <col min="2" max="2" width="19.1171875" style="1" customWidth="1"/>
    <col min="3" max="3" width="13.5859375" style="1" customWidth="1"/>
    <col min="4" max="4" width="14.46875" style="1" customWidth="1"/>
    <col min="5" max="5" width="15.8203125" style="1" customWidth="1"/>
    <col min="6" max="6" width="12.41015625" style="1" customWidth="1"/>
    <col min="7" max="7" width="6.64453125" style="1" customWidth="1"/>
    <col min="8" max="8" width="9.1171875" style="1" customWidth="1"/>
    <col min="9" max="9" width="15.29296875" style="1" bestFit="1" customWidth="1"/>
    <col min="10" max="10" width="21.76171875" style="72" bestFit="1" customWidth="1"/>
    <col min="11" max="11" width="20.29296875" style="23" customWidth="1"/>
    <col min="12" max="16384" width="9.1171875" style="1"/>
  </cols>
  <sheetData>
    <row r="2" spans="2:12" ht="23.35" x14ac:dyDescent="0.8">
      <c r="B2" s="34" t="s">
        <v>79</v>
      </c>
    </row>
    <row r="4" spans="2:12" x14ac:dyDescent="0.5">
      <c r="B4" s="49" t="s">
        <v>0</v>
      </c>
      <c r="C4" s="49" t="s">
        <v>1</v>
      </c>
      <c r="D4" s="49" t="s">
        <v>2</v>
      </c>
      <c r="E4" s="49" t="s">
        <v>3</v>
      </c>
      <c r="F4" s="49" t="s">
        <v>4</v>
      </c>
      <c r="G4" s="49" t="s">
        <v>5</v>
      </c>
      <c r="H4" s="49" t="s">
        <v>6</v>
      </c>
      <c r="I4" s="49" t="s">
        <v>7</v>
      </c>
      <c r="J4" s="71" t="s">
        <v>91</v>
      </c>
      <c r="K4" s="52" t="s">
        <v>8</v>
      </c>
      <c r="L4" s="31"/>
    </row>
    <row r="5" spans="2:12" x14ac:dyDescent="0.5">
      <c r="B5" s="31" t="s">
        <v>14</v>
      </c>
      <c r="C5" s="31" t="s">
        <v>103</v>
      </c>
      <c r="D5" s="31"/>
      <c r="E5" s="31"/>
      <c r="F5" s="31"/>
      <c r="G5" s="31"/>
      <c r="H5" s="31">
        <v>61723</v>
      </c>
      <c r="I5" s="31">
        <v>6876896</v>
      </c>
      <c r="J5" s="70">
        <v>0.25</v>
      </c>
      <c r="K5" s="32">
        <v>120000</v>
      </c>
      <c r="L5" s="31"/>
    </row>
    <row r="6" spans="2:12" x14ac:dyDescent="0.5">
      <c r="B6" s="31" t="s">
        <v>14</v>
      </c>
      <c r="C6" s="31" t="s">
        <v>94</v>
      </c>
      <c r="D6" s="31"/>
      <c r="E6" s="31"/>
      <c r="F6" s="31" t="s">
        <v>95</v>
      </c>
      <c r="G6" s="31"/>
      <c r="H6" s="31">
        <v>63822</v>
      </c>
      <c r="I6" s="31">
        <v>32648239</v>
      </c>
      <c r="J6" s="70">
        <v>0.25</v>
      </c>
      <c r="K6" s="32">
        <v>150000</v>
      </c>
      <c r="L6" s="31"/>
    </row>
    <row r="7" spans="2:12" x14ac:dyDescent="0.5">
      <c r="B7" s="31"/>
      <c r="C7" s="33"/>
      <c r="D7" s="31"/>
      <c r="E7" s="31"/>
      <c r="F7" s="31"/>
      <c r="G7" s="31"/>
      <c r="H7" s="31"/>
      <c r="I7" s="31"/>
      <c r="J7" s="70"/>
      <c r="K7" s="32"/>
      <c r="L7" s="31"/>
    </row>
    <row r="8" spans="2:12" x14ac:dyDescent="0.5">
      <c r="B8" s="33"/>
      <c r="C8" s="31"/>
      <c r="D8" s="31"/>
      <c r="E8" s="31"/>
      <c r="F8" s="31"/>
      <c r="G8" s="31"/>
      <c r="H8" s="31"/>
      <c r="I8" s="31"/>
      <c r="J8" s="70"/>
      <c r="K8" s="32"/>
      <c r="L8" s="31"/>
    </row>
    <row r="9" spans="2:12" x14ac:dyDescent="0.5">
      <c r="B9" s="33"/>
      <c r="C9" s="31"/>
      <c r="D9" s="31"/>
      <c r="E9" s="31"/>
      <c r="F9" s="31"/>
      <c r="G9" s="31"/>
      <c r="H9" s="31"/>
      <c r="I9" s="31"/>
      <c r="J9" s="70"/>
      <c r="K9" s="32"/>
      <c r="L9" s="31"/>
    </row>
    <row r="10" spans="2:12" x14ac:dyDescent="0.5">
      <c r="B10" s="31"/>
      <c r="C10" s="31"/>
      <c r="D10" s="31"/>
      <c r="E10" s="31"/>
      <c r="F10" s="31"/>
      <c r="G10" s="31"/>
      <c r="H10" s="31"/>
      <c r="I10" s="31"/>
      <c r="J10" s="70"/>
      <c r="K10" s="32"/>
      <c r="L10" s="31"/>
    </row>
    <row r="11" spans="2:12" x14ac:dyDescent="0.5">
      <c r="B11" s="31"/>
      <c r="C11" s="31"/>
      <c r="D11" s="31"/>
      <c r="E11" s="31"/>
      <c r="F11" s="31"/>
      <c r="G11" s="31"/>
      <c r="H11" s="31"/>
      <c r="I11" s="31"/>
      <c r="J11" s="70"/>
      <c r="K11" s="32"/>
      <c r="L11" s="31"/>
    </row>
    <row r="12" spans="2:12" x14ac:dyDescent="0.5">
      <c r="B12" s="31"/>
      <c r="C12" s="31"/>
      <c r="D12" s="31"/>
      <c r="E12" s="31"/>
      <c r="F12" s="31"/>
      <c r="G12" s="31"/>
      <c r="H12" s="31"/>
      <c r="I12" s="31"/>
      <c r="J12" s="70"/>
      <c r="K12" s="32"/>
      <c r="L12" s="31"/>
    </row>
    <row r="13" spans="2:12" x14ac:dyDescent="0.5">
      <c r="B13" s="31"/>
      <c r="C13" s="31"/>
      <c r="D13" s="31"/>
      <c r="E13" s="31"/>
      <c r="F13" s="31"/>
      <c r="G13" s="31"/>
      <c r="H13" s="31"/>
      <c r="I13" s="31"/>
      <c r="J13" s="70"/>
      <c r="K13" s="32"/>
      <c r="L13" s="31"/>
    </row>
    <row r="14" spans="2:12" x14ac:dyDescent="0.5">
      <c r="B14" s="31"/>
      <c r="C14" s="31"/>
      <c r="D14" s="31"/>
      <c r="E14" s="31"/>
      <c r="F14" s="31"/>
      <c r="G14" s="31"/>
      <c r="H14" s="31"/>
      <c r="I14" s="31"/>
      <c r="J14" s="70"/>
      <c r="K14" s="32"/>
      <c r="L14" s="31"/>
    </row>
    <row r="15" spans="2:12" x14ac:dyDescent="0.5">
      <c r="B15" s="31"/>
      <c r="C15" s="31"/>
      <c r="D15" s="31"/>
      <c r="E15" s="31"/>
      <c r="F15" s="31"/>
      <c r="G15" s="31"/>
      <c r="H15" s="31"/>
      <c r="I15" s="31"/>
      <c r="J15" s="70"/>
      <c r="K15" s="32"/>
      <c r="L15" s="31"/>
    </row>
    <row r="16" spans="2:12" x14ac:dyDescent="0.5">
      <c r="B16" s="31"/>
      <c r="C16" s="31"/>
      <c r="D16" s="31"/>
      <c r="E16" s="31"/>
      <c r="F16" s="31"/>
      <c r="G16" s="31"/>
      <c r="H16" s="31"/>
      <c r="I16" s="31"/>
      <c r="J16" s="70"/>
      <c r="K16" s="32"/>
      <c r="L16" s="31"/>
    </row>
    <row r="17" spans="2:12" x14ac:dyDescent="0.5">
      <c r="B17" s="31"/>
      <c r="C17" s="31"/>
      <c r="D17" s="31"/>
      <c r="E17" s="31"/>
      <c r="F17" s="31"/>
      <c r="G17" s="31"/>
      <c r="H17" s="31"/>
      <c r="I17" s="31"/>
      <c r="J17" s="70"/>
      <c r="K17" s="32"/>
      <c r="L17" s="31"/>
    </row>
    <row r="18" spans="2:12" x14ac:dyDescent="0.5">
      <c r="B18" s="31"/>
      <c r="C18" s="31"/>
      <c r="D18" s="31"/>
      <c r="E18" s="31"/>
      <c r="F18" s="31"/>
      <c r="G18" s="31"/>
      <c r="H18" s="31"/>
      <c r="I18" s="31"/>
      <c r="J18" s="70"/>
      <c r="K18" s="32"/>
      <c r="L18" s="31"/>
    </row>
    <row r="19" spans="2:12" x14ac:dyDescent="0.5">
      <c r="B19" s="31"/>
      <c r="C19" s="31"/>
      <c r="D19" s="31"/>
      <c r="E19" s="31"/>
      <c r="F19" s="31"/>
      <c r="G19" s="31"/>
      <c r="H19" s="31"/>
      <c r="I19" s="31"/>
      <c r="J19" s="70"/>
      <c r="K19" s="32"/>
      <c r="L19" s="31"/>
    </row>
    <row r="20" spans="2:12" x14ac:dyDescent="0.5">
      <c r="B20" s="31"/>
      <c r="C20" s="31"/>
      <c r="D20" s="31"/>
      <c r="E20" s="31"/>
      <c r="F20" s="31"/>
      <c r="G20" s="31"/>
      <c r="H20" s="31"/>
      <c r="I20" s="31"/>
      <c r="J20" s="70"/>
      <c r="K20" s="32"/>
      <c r="L20" s="31"/>
    </row>
    <row r="21" spans="2:12" x14ac:dyDescent="0.5">
      <c r="B21" s="31"/>
      <c r="C21" s="31"/>
      <c r="D21" s="31"/>
      <c r="E21" s="31"/>
      <c r="F21" s="31"/>
      <c r="G21" s="31"/>
      <c r="H21" s="31"/>
      <c r="I21" s="31"/>
      <c r="J21" s="70"/>
      <c r="K21" s="32"/>
      <c r="L21" s="31"/>
    </row>
    <row r="22" spans="2:12" x14ac:dyDescent="0.5">
      <c r="B22" s="31"/>
      <c r="C22" s="31"/>
      <c r="D22" s="31"/>
      <c r="E22" s="31"/>
      <c r="F22" s="31"/>
      <c r="G22" s="31"/>
      <c r="H22" s="31"/>
      <c r="I22" s="31"/>
      <c r="J22" s="70"/>
      <c r="K22" s="32"/>
      <c r="L22" s="31"/>
    </row>
    <row r="23" spans="2:12" x14ac:dyDescent="0.5">
      <c r="B23" s="31"/>
      <c r="C23" s="31"/>
      <c r="D23" s="31"/>
      <c r="E23" s="31"/>
      <c r="F23" s="31"/>
      <c r="G23" s="31"/>
      <c r="H23" s="31"/>
      <c r="I23" s="31"/>
      <c r="J23" s="70"/>
      <c r="K23" s="32"/>
      <c r="L23" s="31"/>
    </row>
    <row r="24" spans="2:12" x14ac:dyDescent="0.5">
      <c r="B24" s="31"/>
      <c r="C24" s="31"/>
      <c r="D24" s="31"/>
      <c r="E24" s="31"/>
      <c r="F24" s="31"/>
      <c r="G24" s="31"/>
      <c r="H24" s="31"/>
      <c r="I24" s="31"/>
      <c r="J24" s="70"/>
      <c r="K24" s="32"/>
      <c r="L24" s="31"/>
    </row>
    <row r="25" spans="2:12" x14ac:dyDescent="0.5">
      <c r="B25" s="31"/>
      <c r="C25" s="31"/>
      <c r="D25" s="31"/>
      <c r="E25" s="31"/>
      <c r="F25" s="31"/>
      <c r="G25" s="31"/>
      <c r="H25" s="31"/>
      <c r="I25" s="31"/>
      <c r="J25" s="70"/>
      <c r="K25" s="32"/>
      <c r="L25" s="31"/>
    </row>
    <row r="26" spans="2:12" x14ac:dyDescent="0.5">
      <c r="B26" s="31"/>
      <c r="C26" s="31"/>
      <c r="D26" s="31"/>
      <c r="E26" s="31"/>
      <c r="F26" s="31"/>
      <c r="G26" s="31"/>
      <c r="H26" s="31"/>
      <c r="I26" s="31"/>
      <c r="J26" s="70"/>
      <c r="K26" s="32"/>
      <c r="L26" s="31"/>
    </row>
    <row r="27" spans="2:12" x14ac:dyDescent="0.5">
      <c r="B27" s="31"/>
      <c r="C27" s="31"/>
      <c r="D27" s="31"/>
      <c r="E27" s="31"/>
      <c r="F27" s="31"/>
      <c r="G27" s="31"/>
      <c r="H27" s="31"/>
      <c r="I27" s="31"/>
      <c r="J27" s="70"/>
      <c r="K27" s="32"/>
      <c r="L27" s="31"/>
    </row>
    <row r="28" spans="2:12" x14ac:dyDescent="0.5">
      <c r="B28" s="31"/>
      <c r="C28" s="31"/>
      <c r="D28" s="31"/>
      <c r="E28" s="31"/>
      <c r="F28" s="31"/>
      <c r="G28" s="31"/>
      <c r="H28" s="31"/>
      <c r="I28" s="31"/>
      <c r="J28" s="70"/>
      <c r="K28" s="32"/>
      <c r="L28" s="31"/>
    </row>
    <row r="29" spans="2:12" x14ac:dyDescent="0.5">
      <c r="B29" s="31"/>
      <c r="C29" s="31"/>
      <c r="D29" s="31"/>
      <c r="E29" s="31"/>
      <c r="F29" s="31"/>
      <c r="G29" s="31"/>
      <c r="H29" s="31"/>
      <c r="I29" s="31"/>
      <c r="J29" s="70"/>
      <c r="K29" s="32"/>
      <c r="L29" s="31"/>
    </row>
    <row r="30" spans="2:12" x14ac:dyDescent="0.5">
      <c r="B30" s="31"/>
      <c r="C30" s="31"/>
      <c r="D30" s="31"/>
      <c r="E30" s="31"/>
      <c r="F30" s="31"/>
      <c r="G30" s="31"/>
      <c r="H30" s="31"/>
      <c r="I30" s="31"/>
      <c r="J30" s="70"/>
      <c r="K30" s="32"/>
      <c r="L30" s="31"/>
    </row>
    <row r="31" spans="2:12" x14ac:dyDescent="0.5">
      <c r="B31" s="31"/>
      <c r="C31" s="31"/>
      <c r="D31" s="31"/>
      <c r="E31" s="31"/>
      <c r="F31" s="31"/>
      <c r="G31" s="31"/>
      <c r="H31" s="31"/>
      <c r="I31" s="31"/>
      <c r="J31" s="70"/>
      <c r="K31" s="32"/>
      <c r="L31" s="31"/>
    </row>
    <row r="32" spans="2:12" x14ac:dyDescent="0.5">
      <c r="B32" s="31"/>
      <c r="C32" s="31"/>
      <c r="D32" s="31"/>
      <c r="E32" s="31"/>
      <c r="F32" s="31"/>
      <c r="G32" s="31"/>
      <c r="H32" s="31"/>
      <c r="I32" s="31"/>
      <c r="J32" s="70"/>
      <c r="K32" s="32"/>
      <c r="L32" s="31"/>
    </row>
    <row r="33" spans="2:12" x14ac:dyDescent="0.5">
      <c r="B33" s="31"/>
      <c r="C33" s="31"/>
      <c r="D33" s="31"/>
      <c r="E33" s="31"/>
      <c r="F33" s="31"/>
      <c r="G33" s="31"/>
      <c r="H33" s="31"/>
      <c r="I33" s="31"/>
      <c r="J33" s="70"/>
      <c r="K33" s="32"/>
      <c r="L33" s="31"/>
    </row>
    <row r="34" spans="2:12" x14ac:dyDescent="0.5">
      <c r="B34" s="31"/>
      <c r="C34" s="31"/>
      <c r="D34" s="31"/>
      <c r="E34" s="31"/>
      <c r="F34" s="31"/>
      <c r="G34" s="31"/>
      <c r="H34" s="31"/>
      <c r="I34" s="31"/>
      <c r="J34" s="70"/>
      <c r="K34" s="32"/>
      <c r="L34" s="31"/>
    </row>
    <row r="35" spans="2:12" x14ac:dyDescent="0.5">
      <c r="B35" s="31"/>
      <c r="C35" s="31"/>
      <c r="D35" s="31"/>
      <c r="E35" s="31"/>
      <c r="F35" s="31"/>
      <c r="G35" s="31"/>
      <c r="H35" s="31"/>
      <c r="I35" s="31"/>
      <c r="J35" s="70"/>
      <c r="K35" s="32"/>
      <c r="L35" s="31"/>
    </row>
    <row r="36" spans="2:12" x14ac:dyDescent="0.5">
      <c r="B36" s="31"/>
      <c r="C36" s="31"/>
      <c r="D36" s="31"/>
      <c r="E36" s="31"/>
      <c r="F36" s="31"/>
      <c r="G36" s="31"/>
      <c r="H36" s="31"/>
      <c r="I36" s="31"/>
      <c r="J36" s="70"/>
      <c r="K36" s="32"/>
      <c r="L36" s="31"/>
    </row>
    <row r="37" spans="2:12" x14ac:dyDescent="0.5">
      <c r="B37" s="31"/>
      <c r="C37" s="31"/>
      <c r="D37" s="31"/>
      <c r="E37" s="31"/>
      <c r="F37" s="31"/>
      <c r="G37" s="31"/>
      <c r="H37" s="31"/>
      <c r="I37" s="31"/>
      <c r="J37" s="70"/>
      <c r="K37" s="32"/>
      <c r="L37" s="31"/>
    </row>
    <row r="38" spans="2:12" x14ac:dyDescent="0.5">
      <c r="B38" s="31"/>
      <c r="C38" s="31"/>
      <c r="D38" s="31"/>
      <c r="E38" s="31"/>
      <c r="F38" s="31"/>
      <c r="G38" s="31"/>
      <c r="H38" s="31"/>
      <c r="I38" s="31"/>
      <c r="J38" s="70"/>
      <c r="K38" s="32"/>
      <c r="L38" s="31"/>
    </row>
    <row r="39" spans="2:12" x14ac:dyDescent="0.5">
      <c r="B39" s="31"/>
      <c r="C39" s="31"/>
      <c r="D39" s="31"/>
      <c r="E39" s="31"/>
      <c r="F39" s="31"/>
      <c r="G39" s="31"/>
      <c r="H39" s="31"/>
      <c r="I39" s="31"/>
      <c r="J39" s="70"/>
      <c r="K39" s="32"/>
      <c r="L39" s="31"/>
    </row>
    <row r="40" spans="2:12" x14ac:dyDescent="0.5">
      <c r="B40" s="31"/>
      <c r="C40" s="31"/>
      <c r="D40" s="31"/>
      <c r="E40" s="31"/>
      <c r="F40" s="31"/>
      <c r="G40" s="31"/>
      <c r="H40" s="31"/>
      <c r="I40" s="31"/>
      <c r="J40" s="70"/>
      <c r="K40" s="32"/>
      <c r="L40" s="31"/>
    </row>
    <row r="41" spans="2:12" x14ac:dyDescent="0.5">
      <c r="B41" s="31"/>
      <c r="C41" s="31"/>
      <c r="D41" s="31"/>
      <c r="E41" s="31"/>
      <c r="F41" s="31"/>
      <c r="G41" s="31"/>
      <c r="H41" s="31"/>
      <c r="I41" s="31"/>
      <c r="J41" s="70"/>
      <c r="K41" s="32"/>
      <c r="L41" s="31"/>
    </row>
    <row r="42" spans="2:12" x14ac:dyDescent="0.5">
      <c r="B42" s="31"/>
      <c r="C42" s="31"/>
      <c r="D42" s="31"/>
      <c r="E42" s="31"/>
      <c r="F42" s="31"/>
      <c r="G42" s="31"/>
      <c r="H42" s="31"/>
      <c r="I42" s="31"/>
      <c r="J42" s="70"/>
      <c r="K42" s="32"/>
      <c r="L42" s="31"/>
    </row>
    <row r="43" spans="2:12" x14ac:dyDescent="0.5">
      <c r="B43" s="31"/>
      <c r="C43" s="31"/>
      <c r="D43" s="31"/>
      <c r="E43" s="31"/>
      <c r="F43" s="31"/>
      <c r="G43" s="31"/>
      <c r="H43" s="31"/>
      <c r="I43" s="31"/>
      <c r="J43" s="70"/>
      <c r="K43" s="32"/>
      <c r="L43" s="31"/>
    </row>
    <row r="44" spans="2:12" x14ac:dyDescent="0.5">
      <c r="B44" s="31"/>
      <c r="C44" s="31"/>
      <c r="D44" s="31"/>
      <c r="E44" s="31"/>
      <c r="F44" s="31"/>
      <c r="G44" s="31"/>
      <c r="H44" s="31"/>
      <c r="I44" s="31"/>
      <c r="J44" s="70"/>
      <c r="K44" s="32"/>
      <c r="L44" s="31"/>
    </row>
    <row r="45" spans="2:12" x14ac:dyDescent="0.5">
      <c r="B45" s="31"/>
      <c r="C45" s="31"/>
      <c r="D45" s="31"/>
      <c r="E45" s="31"/>
      <c r="F45" s="31"/>
      <c r="G45" s="31"/>
      <c r="H45" s="31"/>
      <c r="I45" s="31"/>
      <c r="J45" s="70"/>
      <c r="K45" s="32"/>
      <c r="L45" s="31"/>
    </row>
    <row r="46" spans="2:12" x14ac:dyDescent="0.5">
      <c r="B46" s="31"/>
      <c r="C46" s="31"/>
      <c r="D46" s="31"/>
      <c r="E46" s="31"/>
      <c r="F46" s="31"/>
      <c r="G46" s="31"/>
      <c r="H46" s="31"/>
      <c r="I46" s="31"/>
      <c r="J46" s="70"/>
      <c r="K46" s="32"/>
      <c r="L46" s="31"/>
    </row>
    <row r="47" spans="2:12" x14ac:dyDescent="0.5">
      <c r="B47" s="31"/>
      <c r="C47" s="31"/>
      <c r="D47" s="31"/>
      <c r="E47" s="31"/>
      <c r="F47" s="31"/>
      <c r="G47" s="31"/>
      <c r="H47" s="31"/>
      <c r="I47" s="31"/>
      <c r="J47" s="70"/>
      <c r="K47" s="32"/>
      <c r="L47" s="31"/>
    </row>
    <row r="48" spans="2:12" x14ac:dyDescent="0.5">
      <c r="B48" s="31"/>
      <c r="C48" s="31"/>
      <c r="D48" s="31"/>
      <c r="E48" s="31"/>
      <c r="F48" s="31"/>
      <c r="G48" s="31"/>
      <c r="H48" s="31"/>
      <c r="I48" s="31"/>
      <c r="J48" s="70"/>
      <c r="K48" s="32"/>
      <c r="L48" s="31"/>
    </row>
    <row r="49" spans="2:12" x14ac:dyDescent="0.5">
      <c r="B49" s="31"/>
      <c r="C49" s="31"/>
      <c r="D49" s="31"/>
      <c r="E49" s="31"/>
      <c r="F49" s="31"/>
      <c r="G49" s="31"/>
      <c r="H49" s="31"/>
      <c r="I49" s="31"/>
      <c r="J49" s="70"/>
      <c r="K49" s="32"/>
      <c r="L49" s="31"/>
    </row>
    <row r="50" spans="2:12" x14ac:dyDescent="0.5">
      <c r="B50" s="31"/>
      <c r="C50" s="31"/>
      <c r="D50" s="31"/>
      <c r="E50" s="31"/>
      <c r="F50" s="31"/>
      <c r="G50" s="31"/>
      <c r="H50" s="31"/>
      <c r="I50" s="31"/>
      <c r="J50" s="70"/>
      <c r="K50" s="32"/>
      <c r="L50" s="31"/>
    </row>
    <row r="51" spans="2:12" x14ac:dyDescent="0.5">
      <c r="B51" s="31"/>
      <c r="C51" s="31"/>
      <c r="D51" s="31"/>
      <c r="E51" s="31"/>
      <c r="F51" s="31"/>
      <c r="G51" s="31"/>
      <c r="H51" s="31"/>
      <c r="I51" s="31"/>
      <c r="J51" s="70"/>
      <c r="K51" s="32"/>
      <c r="L51" s="31"/>
    </row>
    <row r="52" spans="2:12" x14ac:dyDescent="0.5">
      <c r="B52" s="31"/>
      <c r="C52" s="31"/>
      <c r="D52" s="31"/>
      <c r="E52" s="31"/>
      <c r="F52" s="31"/>
      <c r="G52" s="31"/>
      <c r="H52" s="31"/>
      <c r="I52" s="31"/>
      <c r="J52" s="70"/>
      <c r="K52" s="32"/>
      <c r="L52" s="31"/>
    </row>
    <row r="53" spans="2:12" x14ac:dyDescent="0.5">
      <c r="B53" s="31"/>
      <c r="C53" s="31"/>
      <c r="D53" s="31"/>
      <c r="E53" s="31"/>
      <c r="F53" s="31"/>
      <c r="G53" s="31"/>
      <c r="H53" s="31"/>
      <c r="I53" s="31"/>
      <c r="J53" s="70"/>
      <c r="K53" s="32"/>
      <c r="L53" s="31"/>
    </row>
    <row r="54" spans="2:12" x14ac:dyDescent="0.5">
      <c r="B54" s="31"/>
      <c r="C54" s="31"/>
      <c r="D54" s="31"/>
      <c r="E54" s="31"/>
      <c r="F54" s="31"/>
      <c r="G54" s="31"/>
      <c r="H54" s="31"/>
      <c r="I54" s="31"/>
      <c r="J54" s="70"/>
      <c r="K54" s="32"/>
      <c r="L54" s="31"/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owMainMenu_Click">
                <anchor moveWithCells="1" sizeWithCells="1">
                  <from>
                    <xdr:col>4</xdr:col>
                    <xdr:colOff>423333</xdr:colOff>
                    <xdr:row>0</xdr:row>
                    <xdr:rowOff>173567</xdr:rowOff>
                  </from>
                  <to>
                    <xdr:col>5</xdr:col>
                    <xdr:colOff>635000</xdr:colOff>
                    <xdr:row>2</xdr:row>
                    <xdr:rowOff>29633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CCCE1-95D0-4E71-9DAB-5090C60E3F0C}">
  <sheetPr codeName="Sheet5"/>
  <dimension ref="B2:J12"/>
  <sheetViews>
    <sheetView showGridLines="0" workbookViewId="0">
      <selection activeCell="G16" sqref="G16"/>
    </sheetView>
  </sheetViews>
  <sheetFormatPr defaultRowHeight="14.35" x14ac:dyDescent="0.5"/>
  <cols>
    <col min="2" max="2" width="16.8203125" style="20" customWidth="1"/>
    <col min="3" max="3" width="20.1171875" style="20" customWidth="1"/>
    <col min="4" max="4" width="13.703125" style="24" customWidth="1"/>
    <col min="5" max="5" width="18.05859375" style="24" bestFit="1" customWidth="1"/>
    <col min="6" max="6" width="19.9375" style="69" bestFit="1" customWidth="1"/>
    <col min="8" max="8" width="18.3515625" bestFit="1" customWidth="1"/>
    <col min="9" max="9" width="12.17578125" customWidth="1"/>
  </cols>
  <sheetData>
    <row r="2" spans="2:10" ht="23.35" x14ac:dyDescent="0.5">
      <c r="B2" s="19" t="s">
        <v>82</v>
      </c>
    </row>
    <row r="3" spans="2:10" x14ac:dyDescent="0.5">
      <c r="B3" s="31"/>
      <c r="C3" s="31"/>
      <c r="D3" s="32"/>
      <c r="E3" s="32"/>
      <c r="F3" s="70"/>
      <c r="G3" s="1"/>
      <c r="H3" s="1"/>
      <c r="I3" s="1"/>
      <c r="J3" s="1"/>
    </row>
    <row r="4" spans="2:10" ht="14.7" thickBot="1" x14ac:dyDescent="0.55000000000000004">
      <c r="B4" s="31"/>
      <c r="C4" s="31"/>
      <c r="D4" s="32"/>
      <c r="E4" s="32"/>
      <c r="F4" s="70"/>
      <c r="G4" s="1"/>
      <c r="H4" s="1"/>
      <c r="I4" s="1"/>
      <c r="J4" s="1"/>
    </row>
    <row r="5" spans="2:10" x14ac:dyDescent="0.5">
      <c r="B5" s="31"/>
      <c r="C5" s="31"/>
      <c r="D5" s="32"/>
      <c r="E5" s="32"/>
      <c r="F5" s="70"/>
      <c r="G5" s="1"/>
      <c r="H5" s="2" t="s">
        <v>16</v>
      </c>
      <c r="I5" s="73">
        <f>SUM(D7:D100000)</f>
        <v>16875</v>
      </c>
      <c r="J5" s="1"/>
    </row>
    <row r="6" spans="2:10" ht="14.7" thickBot="1" x14ac:dyDescent="0.55000000000000004">
      <c r="B6" s="49" t="s">
        <v>13</v>
      </c>
      <c r="C6" s="49" t="s">
        <v>14</v>
      </c>
      <c r="D6" s="52" t="s">
        <v>15</v>
      </c>
      <c r="E6" s="52" t="s">
        <v>89</v>
      </c>
      <c r="F6" s="71" t="s">
        <v>90</v>
      </c>
      <c r="G6" s="1"/>
      <c r="H6" s="4" t="s">
        <v>17</v>
      </c>
      <c r="I6" s="37">
        <f>SUM(E7:E100000)</f>
        <v>5625</v>
      </c>
      <c r="J6" s="1"/>
    </row>
    <row r="7" spans="2:10" x14ac:dyDescent="0.5">
      <c r="B7" s="68">
        <v>43216</v>
      </c>
      <c r="C7" s="20" t="s">
        <v>105</v>
      </c>
      <c r="D7" s="24">
        <v>7500</v>
      </c>
      <c r="E7" s="24">
        <v>2500</v>
      </c>
      <c r="F7" s="69">
        <v>0.25</v>
      </c>
    </row>
    <row r="8" spans="2:10" x14ac:dyDescent="0.5">
      <c r="B8" s="68">
        <v>43216</v>
      </c>
      <c r="C8" s="20" t="s">
        <v>104</v>
      </c>
      <c r="D8" s="24">
        <v>9375</v>
      </c>
      <c r="E8" s="24">
        <v>3125</v>
      </c>
      <c r="F8" s="69">
        <v>0.25</v>
      </c>
    </row>
    <row r="9" spans="2:10" x14ac:dyDescent="0.5">
      <c r="B9" s="68"/>
    </row>
    <row r="10" spans="2:10" x14ac:dyDescent="0.5">
      <c r="B10" s="68"/>
    </row>
    <row r="11" spans="2:10" x14ac:dyDescent="0.5">
      <c r="B11" s="68"/>
    </row>
    <row r="12" spans="2:10" x14ac:dyDescent="0.5">
      <c r="B12" s="6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MainMenu_Click">
                <anchor moveWithCells="1" sizeWithCells="1">
                  <from>
                    <xdr:col>3</xdr:col>
                    <xdr:colOff>702733</xdr:colOff>
                    <xdr:row>1</xdr:row>
                    <xdr:rowOff>0</xdr:rowOff>
                  </from>
                  <to>
                    <xdr:col>6</xdr:col>
                    <xdr:colOff>50800</xdr:colOff>
                    <xdr:row>2</xdr:row>
                    <xdr:rowOff>131233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9B43E-4A36-4149-BE4B-A95FE0B6E3CA}">
  <sheetPr codeName="Sheet6"/>
  <dimension ref="B2:D19"/>
  <sheetViews>
    <sheetView showGridLines="0" workbookViewId="0">
      <selection activeCell="D7" sqref="D7"/>
    </sheetView>
  </sheetViews>
  <sheetFormatPr defaultRowHeight="14.35" x14ac:dyDescent="0.5"/>
  <cols>
    <col min="3" max="3" width="20.41015625" customWidth="1"/>
    <col min="4" max="4" width="14.8203125" style="22" customWidth="1"/>
  </cols>
  <sheetData>
    <row r="2" spans="2:4" ht="23.35" x14ac:dyDescent="0.8">
      <c r="B2" s="35" t="s">
        <v>28</v>
      </c>
    </row>
    <row r="4" spans="2:4" ht="14.7" thickBot="1" x14ac:dyDescent="0.55000000000000004"/>
    <row r="5" spans="2:4" ht="14.7" thickBot="1" x14ac:dyDescent="0.55000000000000004">
      <c r="C5" s="53" t="s">
        <v>28</v>
      </c>
      <c r="D5" s="25"/>
    </row>
    <row r="6" spans="2:4" x14ac:dyDescent="0.5">
      <c r="C6" s="6" t="s">
        <v>18</v>
      </c>
      <c r="D6" s="57">
        <v>1010</v>
      </c>
    </row>
    <row r="7" spans="2:4" x14ac:dyDescent="0.5">
      <c r="C7" s="6" t="s">
        <v>19</v>
      </c>
      <c r="D7" s="57">
        <v>57.57</v>
      </c>
    </row>
    <row r="8" spans="2:4" x14ac:dyDescent="0.5">
      <c r="C8" s="9" t="s">
        <v>20</v>
      </c>
      <c r="D8" s="47">
        <f>D6 - D7</f>
        <v>952.43</v>
      </c>
    </row>
    <row r="9" spans="2:4" x14ac:dyDescent="0.5">
      <c r="C9" s="6"/>
      <c r="D9" s="36"/>
    </row>
    <row r="10" spans="2:4" x14ac:dyDescent="0.5">
      <c r="C10" s="9" t="s">
        <v>21</v>
      </c>
      <c r="D10" s="36"/>
    </row>
    <row r="11" spans="2:4" x14ac:dyDescent="0.5">
      <c r="C11" s="6" t="s">
        <v>22</v>
      </c>
      <c r="D11" s="57">
        <v>16875</v>
      </c>
    </row>
    <row r="12" spans="2:4" x14ac:dyDescent="0.5">
      <c r="C12" s="6" t="s">
        <v>23</v>
      </c>
      <c r="D12" s="57">
        <v>5625</v>
      </c>
    </row>
    <row r="13" spans="2:4" x14ac:dyDescent="0.5">
      <c r="C13" s="6" t="s">
        <v>24</v>
      </c>
      <c r="D13" s="36">
        <v>1250</v>
      </c>
    </row>
    <row r="14" spans="2:4" x14ac:dyDescent="0.5">
      <c r="C14" s="9" t="s">
        <v>92</v>
      </c>
      <c r="D14" s="36">
        <f>SUM(D11:D13)</f>
        <v>23750</v>
      </c>
    </row>
    <row r="15" spans="2:4" x14ac:dyDescent="0.5">
      <c r="C15" s="6"/>
      <c r="D15" s="36"/>
    </row>
    <row r="16" spans="2:4" x14ac:dyDescent="0.5">
      <c r="C16" s="6" t="s">
        <v>25</v>
      </c>
      <c r="D16" s="36">
        <f>D8-D14</f>
        <v>-22797.57</v>
      </c>
    </row>
    <row r="17" spans="3:4" x14ac:dyDescent="0.5">
      <c r="C17" s="6" t="s">
        <v>26</v>
      </c>
      <c r="D17" s="36">
        <f xml:space="preserve"> 0.2 *D16</f>
        <v>-4559.5140000000001</v>
      </c>
    </row>
    <row r="18" spans="3:4" ht="14.7" thickBot="1" x14ac:dyDescent="0.55000000000000004">
      <c r="C18" s="4" t="s">
        <v>27</v>
      </c>
      <c r="D18" s="48">
        <f xml:space="preserve"> D16 - D17</f>
        <v>-18238.056</v>
      </c>
    </row>
    <row r="19" spans="3:4" x14ac:dyDescent="0.5">
      <c r="C19" s="10"/>
      <c r="D19" s="23"/>
    </row>
  </sheetData>
  <mergeCells count="1">
    <mergeCell ref="C5: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ShowMainMenu_Click">
                <anchor moveWithCells="1" sizeWithCells="1">
                  <from>
                    <xdr:col>3</xdr:col>
                    <xdr:colOff>97367</xdr:colOff>
                    <xdr:row>0</xdr:row>
                    <xdr:rowOff>169333</xdr:rowOff>
                  </from>
                  <to>
                    <xdr:col>4</xdr:col>
                    <xdr:colOff>300567</xdr:colOff>
                    <xdr:row>2</xdr:row>
                    <xdr:rowOff>131233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955-E52C-47FE-A2F8-EFDF126C48E4}">
  <sheetPr codeName="Sheet7"/>
  <dimension ref="B2:J22"/>
  <sheetViews>
    <sheetView showGridLines="0" workbookViewId="0">
      <selection activeCell="G2" sqref="G2"/>
    </sheetView>
  </sheetViews>
  <sheetFormatPr defaultRowHeight="14.35" x14ac:dyDescent="0.5"/>
  <cols>
    <col min="4" max="4" width="16.41015625" bestFit="1" customWidth="1"/>
    <col min="5" max="5" width="19.46875" style="24" customWidth="1"/>
    <col min="6" max="6" width="28.52734375" style="20" customWidth="1"/>
    <col min="7" max="7" width="26.234375" style="24" customWidth="1"/>
    <col min="10" max="10" width="9.41015625" bestFit="1" customWidth="1"/>
  </cols>
  <sheetData>
    <row r="2" spans="2:10" ht="23.35" x14ac:dyDescent="0.8">
      <c r="B2" s="35" t="s">
        <v>85</v>
      </c>
    </row>
    <row r="3" spans="2:10" ht="14.7" thickBot="1" x14ac:dyDescent="0.55000000000000004"/>
    <row r="4" spans="2:10" x14ac:dyDescent="0.5">
      <c r="D4" s="54" t="s">
        <v>45</v>
      </c>
      <c r="E4" s="26"/>
      <c r="F4" s="55" t="s">
        <v>46</v>
      </c>
      <c r="G4" s="27"/>
    </row>
    <row r="5" spans="2:10" x14ac:dyDescent="0.5">
      <c r="D5" s="11"/>
      <c r="E5" s="38"/>
      <c r="F5" s="33"/>
      <c r="G5" s="40"/>
    </row>
    <row r="6" spans="2:10" x14ac:dyDescent="0.5">
      <c r="D6" s="6" t="s">
        <v>29</v>
      </c>
      <c r="E6" s="32">
        <v>200000</v>
      </c>
      <c r="F6" s="31" t="s">
        <v>38</v>
      </c>
      <c r="G6" s="41">
        <v>581</v>
      </c>
    </row>
    <row r="7" spans="2:10" x14ac:dyDescent="0.5">
      <c r="D7" s="6" t="s">
        <v>30</v>
      </c>
      <c r="E7" s="32">
        <v>1010</v>
      </c>
      <c r="F7" s="31" t="s">
        <v>39</v>
      </c>
      <c r="G7" s="41">
        <v>0</v>
      </c>
    </row>
    <row r="8" spans="2:10" x14ac:dyDescent="0.5">
      <c r="D8" s="21" t="s">
        <v>31</v>
      </c>
      <c r="E8" s="60">
        <v>523.42999999999995</v>
      </c>
      <c r="F8" s="44" t="s">
        <v>40</v>
      </c>
      <c r="G8" s="41">
        <v>0</v>
      </c>
    </row>
    <row r="9" spans="2:10" x14ac:dyDescent="0.5">
      <c r="D9" s="6" t="s">
        <v>32</v>
      </c>
      <c r="E9" s="32">
        <f>SUM(E6:E8)</f>
        <v>201533.43</v>
      </c>
      <c r="F9" s="45" t="s">
        <v>41</v>
      </c>
      <c r="G9" s="41">
        <f>SUM(G6:G8)</f>
        <v>581</v>
      </c>
    </row>
    <row r="10" spans="2:10" x14ac:dyDescent="0.5">
      <c r="D10" s="6"/>
      <c r="E10" s="32"/>
      <c r="F10" s="31"/>
      <c r="G10" s="41"/>
    </row>
    <row r="11" spans="2:10" x14ac:dyDescent="0.5">
      <c r="D11" s="6" t="s">
        <v>33</v>
      </c>
      <c r="E11" s="32">
        <v>0</v>
      </c>
      <c r="F11" s="31" t="s">
        <v>42</v>
      </c>
      <c r="G11" s="41">
        <v>0</v>
      </c>
      <c r="I11" s="61" t="s">
        <v>74</v>
      </c>
      <c r="J11" s="67">
        <v>43191</v>
      </c>
    </row>
    <row r="12" spans="2:10" x14ac:dyDescent="0.5">
      <c r="D12" s="6" t="s">
        <v>34</v>
      </c>
      <c r="E12" s="32">
        <v>0</v>
      </c>
      <c r="F12" s="45" t="s">
        <v>43</v>
      </c>
      <c r="G12" s="41">
        <f>G11</f>
        <v>0</v>
      </c>
    </row>
    <row r="13" spans="2:10" x14ac:dyDescent="0.5">
      <c r="D13" s="6" t="s">
        <v>35</v>
      </c>
      <c r="E13" s="32">
        <v>0</v>
      </c>
      <c r="F13" s="31"/>
      <c r="G13" s="41"/>
    </row>
    <row r="14" spans="2:10" x14ac:dyDescent="0.5">
      <c r="D14" s="9" t="s">
        <v>37</v>
      </c>
      <c r="E14" s="32">
        <f>SUM(E11:E13)</f>
        <v>0</v>
      </c>
      <c r="F14" s="45" t="s">
        <v>44</v>
      </c>
      <c r="G14" s="41">
        <f>G12+G9</f>
        <v>581</v>
      </c>
    </row>
    <row r="15" spans="2:10" x14ac:dyDescent="0.5">
      <c r="D15" s="6"/>
      <c r="E15" s="32"/>
      <c r="F15" s="31"/>
      <c r="G15" s="41"/>
    </row>
    <row r="16" spans="2:10" x14ac:dyDescent="0.5">
      <c r="D16" s="6"/>
      <c r="E16" s="32"/>
      <c r="F16" s="44" t="s">
        <v>75</v>
      </c>
      <c r="G16" s="41">
        <v>200000</v>
      </c>
    </row>
    <row r="17" spans="4:7" x14ac:dyDescent="0.5">
      <c r="D17" s="9" t="s">
        <v>36</v>
      </c>
      <c r="E17" s="32">
        <f xml:space="preserve"> E14+E9</f>
        <v>201533.43</v>
      </c>
      <c r="F17" s="45" t="s">
        <v>20</v>
      </c>
      <c r="G17" s="41">
        <v>952.43</v>
      </c>
    </row>
    <row r="18" spans="4:7" x14ac:dyDescent="0.5">
      <c r="D18" s="6"/>
      <c r="E18" s="32"/>
      <c r="F18" s="45" t="s">
        <v>76</v>
      </c>
      <c r="G18" s="41">
        <f>G16+G17</f>
        <v>200952.43</v>
      </c>
    </row>
    <row r="19" spans="4:7" x14ac:dyDescent="0.5">
      <c r="D19" s="6"/>
      <c r="E19" s="32"/>
      <c r="F19" s="31"/>
      <c r="G19" s="41"/>
    </row>
    <row r="20" spans="4:7" x14ac:dyDescent="0.5">
      <c r="D20" s="6"/>
      <c r="E20" s="32"/>
      <c r="F20" s="45" t="s">
        <v>77</v>
      </c>
      <c r="G20" s="41">
        <f>G18+G14</f>
        <v>201533.43</v>
      </c>
    </row>
    <row r="21" spans="4:7" ht="14.7" thickBot="1" x14ac:dyDescent="0.55000000000000004">
      <c r="D21" s="8"/>
      <c r="E21" s="39"/>
      <c r="F21" s="46"/>
      <c r="G21" s="42"/>
    </row>
    <row r="22" spans="4:7" x14ac:dyDescent="0.5">
      <c r="D22" s="1"/>
      <c r="E22" s="32"/>
      <c r="F22" s="45"/>
      <c r="G22" s="32"/>
    </row>
  </sheetData>
  <mergeCells count="2">
    <mergeCell ref="D4:E4"/>
    <mergeCell ref="F4:G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ShowMainMenu_Click">
                <anchor moveWithCells="1" sizeWithCells="1">
                  <from>
                    <xdr:col>4</xdr:col>
                    <xdr:colOff>1185333</xdr:colOff>
                    <xdr:row>0</xdr:row>
                    <xdr:rowOff>88900</xdr:rowOff>
                  </from>
                  <to>
                    <xdr:col>5</xdr:col>
                    <xdr:colOff>918633</xdr:colOff>
                    <xdr:row>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UpdateAccountsRecvPay_Click">
                <anchor moveWithCells="1" sizeWithCells="1">
                  <from>
                    <xdr:col>8</xdr:col>
                    <xdr:colOff>0</xdr:colOff>
                    <xdr:row>4</xdr:row>
                    <xdr:rowOff>177800</xdr:rowOff>
                  </from>
                  <to>
                    <xdr:col>10</xdr:col>
                    <xdr:colOff>330200</xdr:colOff>
                    <xdr:row>7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2FD64-AD49-448E-88AA-08B408EEAD62}">
  <sheetPr codeName="Sheet8"/>
  <dimension ref="B3:K15"/>
  <sheetViews>
    <sheetView showGridLines="0" workbookViewId="0">
      <selection activeCell="H16" sqref="H16"/>
    </sheetView>
  </sheetViews>
  <sheetFormatPr defaultRowHeight="14.35" x14ac:dyDescent="0.5"/>
  <cols>
    <col min="2" max="2" width="14.234375" style="20" bestFit="1" customWidth="1"/>
    <col min="3" max="3" width="13.1171875" style="24" bestFit="1" customWidth="1"/>
    <col min="4" max="4" width="11.703125" style="20" bestFit="1" customWidth="1"/>
    <col min="5" max="5" width="14.52734375" style="24" bestFit="1" customWidth="1"/>
    <col min="6" max="6" width="8.9375" style="20"/>
    <col min="7" max="7" width="18.87890625" style="20" bestFit="1" customWidth="1"/>
    <col min="8" max="8" width="18.87890625" bestFit="1" customWidth="1"/>
    <col min="10" max="10" width="20.29296875" customWidth="1"/>
    <col min="11" max="11" width="10.87890625" bestFit="1" customWidth="1"/>
  </cols>
  <sheetData>
    <row r="3" spans="2:11" ht="23.35" x14ac:dyDescent="0.5">
      <c r="B3" s="19" t="s">
        <v>31</v>
      </c>
    </row>
    <row r="4" spans="2:11" x14ac:dyDescent="0.5">
      <c r="B4" s="31"/>
      <c r="C4" s="32"/>
      <c r="D4" s="31"/>
      <c r="E4" s="32"/>
      <c r="F4" s="31"/>
      <c r="G4" s="31"/>
      <c r="H4" s="1"/>
      <c r="I4" s="1"/>
    </row>
    <row r="5" spans="2:11" x14ac:dyDescent="0.5">
      <c r="B5" s="31"/>
      <c r="C5" s="32"/>
      <c r="D5" s="31"/>
      <c r="E5" s="32"/>
      <c r="F5" s="31"/>
      <c r="H5" s="1"/>
      <c r="I5" s="1"/>
      <c r="J5" s="1"/>
    </row>
    <row r="6" spans="2:11" x14ac:dyDescent="0.5">
      <c r="B6" s="31"/>
      <c r="C6" s="32"/>
      <c r="D6" s="31"/>
      <c r="E6" s="32"/>
      <c r="F6" s="31"/>
      <c r="J6" s="28" t="s">
        <v>51</v>
      </c>
      <c r="K6" s="28"/>
    </row>
    <row r="7" spans="2:11" x14ac:dyDescent="0.5">
      <c r="B7" s="49" t="s">
        <v>47</v>
      </c>
      <c r="C7" s="52" t="s">
        <v>12</v>
      </c>
      <c r="D7" s="49" t="s">
        <v>48</v>
      </c>
      <c r="E7" s="52" t="s">
        <v>49</v>
      </c>
      <c r="F7" s="50" t="s">
        <v>50</v>
      </c>
      <c r="G7" s="49" t="s">
        <v>54</v>
      </c>
      <c r="J7" s="28"/>
      <c r="K7" s="28"/>
    </row>
    <row r="8" spans="2:11" ht="14.7" thickBot="1" x14ac:dyDescent="0.55000000000000004">
      <c r="B8" s="20" t="s">
        <v>56</v>
      </c>
      <c r="C8" s="24">
        <v>0.01</v>
      </c>
      <c r="D8" s="20">
        <v>8292</v>
      </c>
      <c r="E8" s="24">
        <f xml:space="preserve"> C8 * D8</f>
        <v>82.92</v>
      </c>
      <c r="F8" s="20" t="str">
        <f>IF(D8/G8&lt;100, "X", "")</f>
        <v/>
      </c>
      <c r="G8" s="20">
        <v>8</v>
      </c>
      <c r="J8" s="29" t="s">
        <v>52</v>
      </c>
      <c r="K8" s="29"/>
    </row>
    <row r="9" spans="2:11" x14ac:dyDescent="0.5">
      <c r="B9" s="20" t="s">
        <v>57</v>
      </c>
      <c r="C9" s="24">
        <v>0.05</v>
      </c>
      <c r="D9" s="20">
        <v>899</v>
      </c>
      <c r="E9" s="24">
        <f t="shared" ref="E9:E15" si="0" xml:space="preserve"> C9 * D9</f>
        <v>44.95</v>
      </c>
      <c r="F9" s="20" t="str">
        <f t="shared" ref="F9:F15" si="1">IF(D9/G9&lt;100, "X", "")</f>
        <v/>
      </c>
      <c r="G9" s="20">
        <v>1</v>
      </c>
      <c r="J9" s="30">
        <f>_xlfn.FLOOR.MATH(MIN(D8/G8, D9/G9, D10/G10, D11/G11, D12/G12, D13/G13, D14/G14, D15/G15))</f>
        <v>899</v>
      </c>
      <c r="K9" s="30"/>
    </row>
    <row r="10" spans="2:11" x14ac:dyDescent="0.5">
      <c r="B10" s="20" t="s">
        <v>58</v>
      </c>
      <c r="C10" s="24">
        <v>0.05</v>
      </c>
      <c r="D10" s="20">
        <v>899</v>
      </c>
      <c r="E10" s="24">
        <f t="shared" si="0"/>
        <v>44.95</v>
      </c>
      <c r="F10" s="20" t="str">
        <f t="shared" si="1"/>
        <v/>
      </c>
      <c r="G10" s="20">
        <v>1</v>
      </c>
    </row>
    <row r="11" spans="2:11" x14ac:dyDescent="0.5">
      <c r="B11" s="20" t="s">
        <v>59</v>
      </c>
      <c r="C11" s="24">
        <v>0.1</v>
      </c>
      <c r="D11" s="20">
        <v>899</v>
      </c>
      <c r="E11" s="24">
        <f t="shared" si="0"/>
        <v>89.9</v>
      </c>
      <c r="F11" s="20" t="str">
        <f t="shared" si="1"/>
        <v/>
      </c>
      <c r="G11" s="20">
        <v>1</v>
      </c>
    </row>
    <row r="12" spans="2:11" x14ac:dyDescent="0.5">
      <c r="B12" s="20" t="s">
        <v>60</v>
      </c>
      <c r="C12" s="24">
        <v>0.01</v>
      </c>
      <c r="D12" s="20">
        <v>3596</v>
      </c>
      <c r="E12" s="24">
        <f t="shared" si="0"/>
        <v>35.96</v>
      </c>
      <c r="F12" s="20" t="str">
        <f t="shared" si="1"/>
        <v/>
      </c>
      <c r="G12" s="20">
        <v>4</v>
      </c>
    </row>
    <row r="13" spans="2:11" x14ac:dyDescent="0.5">
      <c r="B13" s="20" t="s">
        <v>61</v>
      </c>
      <c r="C13" s="24">
        <v>0.1</v>
      </c>
      <c r="D13" s="20">
        <v>899</v>
      </c>
      <c r="E13" s="24">
        <f t="shared" si="0"/>
        <v>89.9</v>
      </c>
      <c r="F13" s="20" t="str">
        <f t="shared" si="1"/>
        <v/>
      </c>
      <c r="G13" s="20">
        <v>1</v>
      </c>
      <c r="J13" t="s">
        <v>78</v>
      </c>
      <c r="K13" s="22">
        <f>SUM(E8:E15)</f>
        <v>523.43000000000006</v>
      </c>
    </row>
    <row r="14" spans="2:11" x14ac:dyDescent="0.5">
      <c r="B14" s="20" t="s">
        <v>62</v>
      </c>
      <c r="C14" s="24">
        <v>0.1</v>
      </c>
      <c r="D14" s="20">
        <v>899</v>
      </c>
      <c r="E14" s="24">
        <f t="shared" si="0"/>
        <v>89.9</v>
      </c>
      <c r="F14" s="20" t="str">
        <f t="shared" si="1"/>
        <v/>
      </c>
      <c r="G14" s="20">
        <v>1</v>
      </c>
    </row>
    <row r="15" spans="2:11" x14ac:dyDescent="0.5">
      <c r="B15" s="20" t="s">
        <v>63</v>
      </c>
      <c r="C15" s="24">
        <v>0.05</v>
      </c>
      <c r="D15" s="20">
        <v>899</v>
      </c>
      <c r="E15" s="24">
        <f t="shared" si="0"/>
        <v>44.95</v>
      </c>
      <c r="F15" s="20" t="str">
        <f t="shared" si="1"/>
        <v/>
      </c>
      <c r="G15" s="20">
        <v>1</v>
      </c>
    </row>
  </sheetData>
  <mergeCells count="3">
    <mergeCell ref="J6:K7"/>
    <mergeCell ref="J8:K8"/>
    <mergeCell ref="J9:K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howMainMenu_Click">
                <anchor moveWithCells="1" sizeWithCells="1">
                  <from>
                    <xdr:col>3</xdr:col>
                    <xdr:colOff>402167</xdr:colOff>
                    <xdr:row>2</xdr:row>
                    <xdr:rowOff>8467</xdr:rowOff>
                  </from>
                  <to>
                    <xdr:col>4</xdr:col>
                    <xdr:colOff>732367</xdr:colOff>
                    <xdr:row>3</xdr:row>
                    <xdr:rowOff>131233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225E6-8A59-4510-9AB8-347655730FB4}">
  <sheetPr codeName="Sheet10"/>
  <dimension ref="B3:K9"/>
  <sheetViews>
    <sheetView showGridLines="0" tabSelected="1" workbookViewId="0">
      <selection activeCell="K5" sqref="K5"/>
    </sheetView>
  </sheetViews>
  <sheetFormatPr defaultRowHeight="14.35" x14ac:dyDescent="0.5"/>
  <cols>
    <col min="1" max="1" width="9.52734375" customWidth="1"/>
    <col min="2" max="2" width="13.234375" style="20" bestFit="1" customWidth="1"/>
    <col min="3" max="3" width="9.29296875" style="20" bestFit="1" customWidth="1"/>
    <col min="4" max="4" width="15.9375" style="20" bestFit="1" customWidth="1"/>
    <col min="5" max="5" width="8.9375" style="20"/>
    <col min="6" max="6" width="8.9375" style="24"/>
    <col min="7" max="7" width="8.9375" style="20"/>
    <col min="10" max="10" width="15.703125" customWidth="1"/>
    <col min="11" max="11" width="15.46875" customWidth="1"/>
  </cols>
  <sheetData>
    <row r="3" spans="2:11" ht="23.35" x14ac:dyDescent="0.5">
      <c r="B3" s="19" t="s">
        <v>68</v>
      </c>
      <c r="D3" s="31"/>
      <c r="E3" s="31"/>
    </row>
    <row r="4" spans="2:11" ht="14.35" customHeight="1" thickBot="1" x14ac:dyDescent="0.55000000000000004">
      <c r="D4" s="31"/>
      <c r="E4" s="31"/>
    </row>
    <row r="5" spans="2:11" x14ac:dyDescent="0.5">
      <c r="D5" s="31"/>
      <c r="E5" s="31"/>
      <c r="J5" s="13" t="s">
        <v>69</v>
      </c>
      <c r="K5" s="14">
        <f>SUM(G7:G1000000)</f>
        <v>1010</v>
      </c>
    </row>
    <row r="6" spans="2:11" x14ac:dyDescent="0.5">
      <c r="B6" s="49" t="s">
        <v>65</v>
      </c>
      <c r="C6" s="49" t="s">
        <v>74</v>
      </c>
      <c r="D6" s="49" t="s">
        <v>66</v>
      </c>
      <c r="E6" s="49" t="s">
        <v>48</v>
      </c>
      <c r="F6" s="51" t="s">
        <v>12</v>
      </c>
      <c r="G6" s="50" t="s">
        <v>67</v>
      </c>
      <c r="J6" s="62" t="s">
        <v>70</v>
      </c>
      <c r="K6" s="63">
        <f>SUM(E7:E1000000)*0.57</f>
        <v>57.569999999999993</v>
      </c>
    </row>
    <row r="7" spans="2:11" ht="14.7" thickBot="1" x14ac:dyDescent="0.55000000000000004">
      <c r="J7" s="65" t="s">
        <v>88</v>
      </c>
      <c r="K7" s="64">
        <f>SUM(E7:E1000000)</f>
        <v>101</v>
      </c>
    </row>
    <row r="8" spans="2:11" x14ac:dyDescent="0.5">
      <c r="B8" s="20">
        <v>1</v>
      </c>
      <c r="C8" s="68">
        <v>43216</v>
      </c>
      <c r="D8" s="20" t="s">
        <v>86</v>
      </c>
      <c r="E8" s="20">
        <v>100</v>
      </c>
      <c r="F8" s="24">
        <v>10</v>
      </c>
      <c r="G8" s="20">
        <v>1000</v>
      </c>
    </row>
    <row r="9" spans="2:11" x14ac:dyDescent="0.5">
      <c r="B9" s="20">
        <v>2</v>
      </c>
      <c r="C9" s="68">
        <v>43216</v>
      </c>
      <c r="D9" s="20" t="s">
        <v>87</v>
      </c>
      <c r="E9" s="20">
        <v>1</v>
      </c>
      <c r="F9" s="24">
        <v>10</v>
      </c>
      <c r="G9" s="20">
        <v>10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ShowMainMenu_Click">
                <anchor moveWithCells="1" sizeWithCells="1">
                  <from>
                    <xdr:col>3</xdr:col>
                    <xdr:colOff>393700</xdr:colOff>
                    <xdr:row>2</xdr:row>
                    <xdr:rowOff>4233</xdr:rowOff>
                  </from>
                  <to>
                    <xdr:col>4</xdr:col>
                    <xdr:colOff>385233</xdr:colOff>
                    <xdr:row>3</xdr:row>
                    <xdr:rowOff>93133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2F338-1D09-44C1-B70C-87DE1E9F9663}">
  <sheetPr codeName="Sheet11"/>
  <dimension ref="B2:L157"/>
  <sheetViews>
    <sheetView showGridLines="0" workbookViewId="0">
      <selection activeCell="J19" sqref="J19"/>
    </sheetView>
  </sheetViews>
  <sheetFormatPr defaultRowHeight="14.35" x14ac:dyDescent="0.5"/>
  <cols>
    <col min="2" max="2" width="13.234375" style="20" bestFit="1" customWidth="1"/>
    <col min="3" max="3" width="9.29296875" style="20" bestFit="1" customWidth="1"/>
    <col min="4" max="4" width="14.1171875" style="20" customWidth="1"/>
    <col min="5" max="6" width="8.9375" style="20"/>
    <col min="7" max="7" width="8.9375" style="24"/>
    <col min="8" max="8" width="10.87890625" style="24" bestFit="1" customWidth="1"/>
    <col min="11" max="11" width="12.17578125" bestFit="1" customWidth="1"/>
  </cols>
  <sheetData>
    <row r="2" spans="2:12" ht="23.35" x14ac:dyDescent="0.5">
      <c r="B2" s="19" t="s">
        <v>83</v>
      </c>
      <c r="G2" s="56"/>
    </row>
    <row r="3" spans="2:12" x14ac:dyDescent="0.5">
      <c r="B3" s="31"/>
      <c r="C3" s="31"/>
      <c r="D3" s="31"/>
      <c r="E3" s="31"/>
      <c r="K3" s="58"/>
      <c r="L3" s="59"/>
    </row>
    <row r="4" spans="2:12" x14ac:dyDescent="0.5">
      <c r="B4" s="49" t="s">
        <v>71</v>
      </c>
      <c r="C4" s="49" t="s">
        <v>74</v>
      </c>
      <c r="D4" s="49" t="s">
        <v>72</v>
      </c>
      <c r="E4" s="49" t="s">
        <v>11</v>
      </c>
      <c r="F4" s="50" t="s">
        <v>48</v>
      </c>
      <c r="G4" s="51" t="s">
        <v>73</v>
      </c>
      <c r="H4" s="51" t="s">
        <v>67</v>
      </c>
      <c r="K4" s="43"/>
      <c r="L4" s="59"/>
    </row>
    <row r="5" spans="2:12" x14ac:dyDescent="0.5">
      <c r="B5" s="20">
        <v>1</v>
      </c>
      <c r="C5" s="68">
        <v>43216</v>
      </c>
      <c r="E5" s="20" t="s">
        <v>56</v>
      </c>
      <c r="F5" s="20">
        <v>8000</v>
      </c>
      <c r="G5" s="56">
        <v>0.01</v>
      </c>
      <c r="H5" s="24">
        <v>80</v>
      </c>
    </row>
    <row r="6" spans="2:12" x14ac:dyDescent="0.5">
      <c r="B6" s="20">
        <v>2</v>
      </c>
      <c r="C6" s="68">
        <v>43216</v>
      </c>
      <c r="E6" s="20" t="s">
        <v>57</v>
      </c>
      <c r="F6" s="20">
        <v>1000</v>
      </c>
      <c r="G6" s="56">
        <v>0.05</v>
      </c>
      <c r="H6" s="24">
        <v>50</v>
      </c>
    </row>
    <row r="7" spans="2:12" x14ac:dyDescent="0.5">
      <c r="B7" s="20">
        <v>3</v>
      </c>
      <c r="C7" s="68">
        <v>43216</v>
      </c>
      <c r="E7" s="20" t="s">
        <v>58</v>
      </c>
      <c r="F7" s="20">
        <v>1000</v>
      </c>
      <c r="G7" s="56">
        <v>0.05</v>
      </c>
      <c r="H7" s="24">
        <v>50</v>
      </c>
    </row>
    <row r="8" spans="2:12" x14ac:dyDescent="0.5">
      <c r="B8" s="20">
        <v>4</v>
      </c>
      <c r="C8" s="68">
        <v>43216</v>
      </c>
      <c r="E8" s="20" t="s">
        <v>60</v>
      </c>
      <c r="F8" s="20">
        <v>4000</v>
      </c>
      <c r="G8" s="56">
        <v>0.01</v>
      </c>
      <c r="H8" s="24">
        <v>40</v>
      </c>
    </row>
    <row r="9" spans="2:12" x14ac:dyDescent="0.5">
      <c r="B9" s="20">
        <v>5</v>
      </c>
      <c r="C9" s="68">
        <v>43216</v>
      </c>
      <c r="E9" s="20" t="s">
        <v>61</v>
      </c>
      <c r="F9" s="20">
        <v>1000</v>
      </c>
      <c r="G9" s="56">
        <v>0.1</v>
      </c>
      <c r="H9" s="24">
        <v>100</v>
      </c>
    </row>
    <row r="10" spans="2:12" x14ac:dyDescent="0.5">
      <c r="B10" s="20">
        <v>6</v>
      </c>
      <c r="C10" s="68">
        <v>43216</v>
      </c>
      <c r="E10" s="20" t="s">
        <v>62</v>
      </c>
      <c r="F10" s="20">
        <v>1000</v>
      </c>
      <c r="G10" s="56">
        <v>0.1</v>
      </c>
      <c r="H10" s="24">
        <v>100</v>
      </c>
    </row>
    <row r="11" spans="2:12" x14ac:dyDescent="0.5">
      <c r="B11" s="20">
        <v>7</v>
      </c>
      <c r="C11" s="68">
        <v>43216</v>
      </c>
      <c r="E11" s="20" t="s">
        <v>63</v>
      </c>
      <c r="F11" s="20">
        <v>1000</v>
      </c>
      <c r="G11" s="56">
        <v>0.05</v>
      </c>
      <c r="H11" s="24">
        <v>50</v>
      </c>
    </row>
    <row r="12" spans="2:12" x14ac:dyDescent="0.5">
      <c r="B12" s="20">
        <v>8</v>
      </c>
      <c r="C12" s="68">
        <v>43216</v>
      </c>
      <c r="E12" s="20" t="s">
        <v>59</v>
      </c>
      <c r="F12" s="20">
        <v>1000</v>
      </c>
      <c r="G12" s="56">
        <v>0.1</v>
      </c>
      <c r="H12" s="24">
        <v>100</v>
      </c>
    </row>
    <row r="13" spans="2:12" x14ac:dyDescent="0.5">
      <c r="B13" s="20">
        <v>9</v>
      </c>
      <c r="C13" s="68">
        <v>43216</v>
      </c>
      <c r="E13" s="20" t="s">
        <v>56</v>
      </c>
      <c r="F13" s="20">
        <v>1000</v>
      </c>
      <c r="G13" s="56">
        <v>0.01</v>
      </c>
      <c r="H13" s="24">
        <v>10</v>
      </c>
    </row>
    <row r="14" spans="2:12" x14ac:dyDescent="0.5">
      <c r="B14" s="20">
        <v>10</v>
      </c>
      <c r="C14" s="68">
        <v>43216</v>
      </c>
      <c r="E14" s="20" t="s">
        <v>56</v>
      </c>
      <c r="F14" s="20">
        <v>100</v>
      </c>
      <c r="G14" s="56">
        <v>0.01</v>
      </c>
      <c r="H14" s="24">
        <v>1</v>
      </c>
    </row>
    <row r="154" spans="7:7" x14ac:dyDescent="0.5">
      <c r="G154" s="56"/>
    </row>
    <row r="155" spans="7:7" x14ac:dyDescent="0.5">
      <c r="G155" s="56"/>
    </row>
    <row r="156" spans="7:7" x14ac:dyDescent="0.5">
      <c r="G156" s="56"/>
    </row>
    <row r="157" spans="7:7" x14ac:dyDescent="0.5">
      <c r="G157" s="5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howMainMenu_Click">
                <anchor moveWithCells="1" sizeWithCells="1">
                  <from>
                    <xdr:col>3</xdr:col>
                    <xdr:colOff>905933</xdr:colOff>
                    <xdr:row>0</xdr:row>
                    <xdr:rowOff>131233</xdr:rowOff>
                  </from>
                  <to>
                    <xdr:col>5</xdr:col>
                    <xdr:colOff>385233</xdr:colOff>
                    <xdr:row>2</xdr:row>
                    <xdr:rowOff>59267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9D1FE-505E-4A08-9ED4-A612B6E93707}">
  <sheetPr codeName="Sheet9"/>
  <dimension ref="B4:N16"/>
  <sheetViews>
    <sheetView showGridLines="0" workbookViewId="0">
      <selection activeCell="F9" sqref="F9"/>
    </sheetView>
  </sheetViews>
  <sheetFormatPr defaultRowHeight="14.35" x14ac:dyDescent="0.5"/>
  <cols>
    <col min="2" max="2" width="8.9375" style="20"/>
    <col min="3" max="3" width="16.05859375" style="20" customWidth="1"/>
    <col min="4" max="4" width="15.9375" style="20" bestFit="1" customWidth="1"/>
    <col min="5" max="5" width="8.9375" style="20"/>
    <col min="10" max="11" width="9.29296875" bestFit="1" customWidth="1"/>
    <col min="14" max="14" width="9.29296875" bestFit="1" customWidth="1"/>
  </cols>
  <sheetData>
    <row r="4" spans="2:14" ht="23.35" x14ac:dyDescent="0.5">
      <c r="B4" s="19" t="s">
        <v>84</v>
      </c>
    </row>
    <row r="5" spans="2:14" x14ac:dyDescent="0.5">
      <c r="B5" s="31"/>
      <c r="C5" s="31"/>
      <c r="D5" s="31"/>
      <c r="E5" s="31"/>
    </row>
    <row r="6" spans="2:14" x14ac:dyDescent="0.5">
      <c r="B6" s="31"/>
      <c r="C6" s="31"/>
      <c r="D6" s="31"/>
      <c r="E6" s="31"/>
    </row>
    <row r="7" spans="2:14" x14ac:dyDescent="0.5">
      <c r="B7" s="31"/>
      <c r="C7" s="31"/>
      <c r="D7" s="31"/>
      <c r="E7" s="31"/>
    </row>
    <row r="8" spans="2:14" x14ac:dyDescent="0.5">
      <c r="B8" s="49" t="s">
        <v>64</v>
      </c>
      <c r="C8" s="49" t="s">
        <v>53</v>
      </c>
      <c r="D8" s="49" t="s">
        <v>54</v>
      </c>
      <c r="E8" s="49" t="s">
        <v>55</v>
      </c>
    </row>
    <row r="9" spans="2:14" x14ac:dyDescent="0.5">
      <c r="B9" s="20">
        <v>1</v>
      </c>
      <c r="C9" s="20" t="s">
        <v>56</v>
      </c>
      <c r="D9" s="20">
        <v>8</v>
      </c>
      <c r="E9" s="20">
        <v>0.01</v>
      </c>
    </row>
    <row r="10" spans="2:14" x14ac:dyDescent="0.5">
      <c r="B10" s="20">
        <v>2</v>
      </c>
      <c r="C10" s="20" t="s">
        <v>57</v>
      </c>
      <c r="D10" s="20">
        <v>1</v>
      </c>
      <c r="E10" s="20">
        <v>0.05</v>
      </c>
      <c r="J10" s="66"/>
      <c r="M10" s="66"/>
    </row>
    <row r="11" spans="2:14" x14ac:dyDescent="0.5">
      <c r="B11" s="20">
        <v>3</v>
      </c>
      <c r="C11" s="20" t="s">
        <v>58</v>
      </c>
      <c r="D11" s="20">
        <v>1</v>
      </c>
      <c r="E11" s="20">
        <v>0.05</v>
      </c>
      <c r="J11" s="66"/>
    </row>
    <row r="12" spans="2:14" x14ac:dyDescent="0.5">
      <c r="B12" s="20">
        <v>4</v>
      </c>
      <c r="C12" s="20" t="s">
        <v>59</v>
      </c>
      <c r="D12" s="20">
        <v>1</v>
      </c>
      <c r="E12" s="20">
        <v>0.1</v>
      </c>
      <c r="J12" s="66"/>
    </row>
    <row r="13" spans="2:14" x14ac:dyDescent="0.5">
      <c r="B13" s="20">
        <v>5</v>
      </c>
      <c r="C13" s="20" t="s">
        <v>60</v>
      </c>
      <c r="D13" s="20">
        <v>4</v>
      </c>
      <c r="E13" s="20">
        <v>0.01</v>
      </c>
      <c r="K13" s="66"/>
      <c r="N13" s="66"/>
    </row>
    <row r="14" spans="2:14" x14ac:dyDescent="0.5">
      <c r="B14" s="20">
        <v>6</v>
      </c>
      <c r="C14" s="20" t="s">
        <v>61</v>
      </c>
      <c r="D14" s="20">
        <v>1</v>
      </c>
      <c r="E14" s="20">
        <v>0.1</v>
      </c>
      <c r="N14" s="66"/>
    </row>
    <row r="15" spans="2:14" x14ac:dyDescent="0.5">
      <c r="B15" s="20">
        <v>7</v>
      </c>
      <c r="C15" s="20" t="s">
        <v>62</v>
      </c>
      <c r="D15" s="20">
        <v>1</v>
      </c>
      <c r="E15" s="20">
        <v>0.1</v>
      </c>
    </row>
    <row r="16" spans="2:14" x14ac:dyDescent="0.5">
      <c r="B16" s="20">
        <v>8</v>
      </c>
      <c r="C16" s="20" t="s">
        <v>63</v>
      </c>
      <c r="D16" s="20">
        <v>1</v>
      </c>
      <c r="E16" s="20">
        <v>0.05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ShowMainMenu_Click">
                <anchor moveWithCells="1" sizeWithCells="1">
                  <from>
                    <xdr:col>2</xdr:col>
                    <xdr:colOff>618067</xdr:colOff>
                    <xdr:row>2</xdr:row>
                    <xdr:rowOff>152400</xdr:rowOff>
                  </from>
                  <to>
                    <xdr:col>3</xdr:col>
                    <xdr:colOff>706967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Main_Menu</vt:lpstr>
      <vt:lpstr>Customers</vt:lpstr>
      <vt:lpstr>Vendors</vt:lpstr>
      <vt:lpstr>Employees</vt:lpstr>
      <vt:lpstr>Payroll_Payments</vt:lpstr>
      <vt:lpstr>Income_Statement</vt:lpstr>
      <vt:lpstr>Balance_sheet</vt:lpstr>
      <vt:lpstr>Inventory</vt:lpstr>
      <vt:lpstr>Invoices</vt:lpstr>
      <vt:lpstr>Purchase_Orders</vt:lpstr>
      <vt:lpstr>Items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Vaitha, Sidharth</dc:creator>
  <cp:lastModifiedBy>sid</cp:lastModifiedBy>
  <dcterms:created xsi:type="dcterms:W3CDTF">2018-04-15T20:53:06Z</dcterms:created>
  <dcterms:modified xsi:type="dcterms:W3CDTF">2018-04-26T15:27:48Z</dcterms:modified>
</cp:coreProperties>
</file>